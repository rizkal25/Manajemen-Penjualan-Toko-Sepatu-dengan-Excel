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Kuliah\semester5\ikwu\"/>
    </mc:Choice>
  </mc:AlternateContent>
  <xr:revisionPtr revIDLastSave="0" documentId="13_ncr:1_{7B4DA6DA-EF1D-4056-8144-2D0BF6EBEC72}" xr6:coauthVersionLast="47" xr6:coauthVersionMax="47" xr10:uidLastSave="{00000000-0000-0000-0000-000000000000}"/>
  <bookViews>
    <workbookView xWindow="-110" yWindow="-110" windowWidth="19420" windowHeight="11020" xr2:uid="{FB049DB6-4C72-4693-8B5C-A77187E368BC}"/>
  </bookViews>
  <sheets>
    <sheet name="TRANSAKSI" sheetId="1" r:id="rId1"/>
    <sheet name="Bon" sheetId="6" r:id="rId2"/>
    <sheet name="Printtransaksi" sheetId="4" r:id="rId3"/>
    <sheet name="identitastoko" sheetId="5" r:id="rId4"/>
    <sheet name="Database" sheetId="2" r:id="rId5"/>
    <sheet name="Resellerdata" sheetId="3" r:id="rId6"/>
  </sheets>
  <definedNames>
    <definedName name="_xlnm._FilterDatabase" localSheetId="4" hidden="1">Database!$A$3:$E$15</definedName>
    <definedName name="_xlnm._FilterDatabase" localSheetId="5" hidden="1">Resellerdata!$A$4:$E$11</definedName>
    <definedName name="_xlnm.Criteria" localSheetId="4">Database!$G$3:$G$4</definedName>
    <definedName name="_xlnm.Criteria" localSheetId="5">Resellerdata!$H$4:$H$5</definedName>
    <definedName name="_xlnm.Extract" localSheetId="4">Database!$I$3:$M$3</definedName>
    <definedName name="_xlnm.Extract" localSheetId="5">Resellerdata!$J$4:$N$4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6" i="6" l="1"/>
  <c r="A1" i="6"/>
  <c r="M15" i="1"/>
  <c r="G11" i="6" s="1"/>
  <c r="M16" i="1"/>
  <c r="G12" i="6" s="1"/>
  <c r="M17" i="1"/>
  <c r="M18" i="1"/>
  <c r="M19" i="1"/>
  <c r="M20" i="1"/>
  <c r="M21" i="1"/>
  <c r="M22" i="1"/>
  <c r="M23" i="1"/>
  <c r="M24" i="1"/>
  <c r="M25" i="1"/>
  <c r="M14" i="1"/>
  <c r="G10" i="6" s="1"/>
  <c r="G22" i="6"/>
  <c r="E11" i="6"/>
  <c r="E12" i="6"/>
  <c r="E13" i="6"/>
  <c r="E14" i="6"/>
  <c r="E15" i="6"/>
  <c r="E16" i="6"/>
  <c r="E17" i="6"/>
  <c r="E18" i="6"/>
  <c r="E19" i="6"/>
  <c r="E20" i="6"/>
  <c r="E21" i="6"/>
  <c r="E22" i="6"/>
  <c r="D11" i="6"/>
  <c r="D12" i="6"/>
  <c r="D13" i="6"/>
  <c r="D14" i="6"/>
  <c r="D15" i="6"/>
  <c r="D16" i="6"/>
  <c r="D17" i="6"/>
  <c r="D18" i="6"/>
  <c r="D19" i="6"/>
  <c r="D20" i="6"/>
  <c r="D21" i="6"/>
  <c r="D22" i="6"/>
  <c r="E10" i="6"/>
  <c r="D10" i="6"/>
  <c r="A11" i="6"/>
  <c r="A12" i="6"/>
  <c r="A13" i="6"/>
  <c r="A14" i="6"/>
  <c r="A15" i="6"/>
  <c r="A16" i="6"/>
  <c r="A17" i="6"/>
  <c r="A18" i="6"/>
  <c r="A19" i="6"/>
  <c r="A20" i="6"/>
  <c r="A21" i="6"/>
  <c r="A22" i="6"/>
  <c r="A10" i="6"/>
  <c r="A2" i="6"/>
</calcChain>
</file>

<file path=xl/sharedStrings.xml><?xml version="1.0" encoding="utf-8"?>
<sst xmlns="http://schemas.openxmlformats.org/spreadsheetml/2006/main" count="178" uniqueCount="80">
  <si>
    <t>Jumlah</t>
  </si>
  <si>
    <t>Total Harga</t>
  </si>
  <si>
    <t>Ukuran</t>
  </si>
  <si>
    <t>Kode Sepatu</t>
  </si>
  <si>
    <t>Nama Sepatu</t>
  </si>
  <si>
    <t>Harga Sepatu</t>
  </si>
  <si>
    <t>Ukuran Sepatu</t>
  </si>
  <si>
    <t>Harga sepatu</t>
  </si>
  <si>
    <t>Adidas</t>
  </si>
  <si>
    <t>A4337</t>
  </si>
  <si>
    <t>D1040</t>
  </si>
  <si>
    <t>E3045</t>
  </si>
  <si>
    <t>Eiger</t>
  </si>
  <si>
    <t>C3232</t>
  </si>
  <si>
    <t>Compass</t>
  </si>
  <si>
    <t>V2950</t>
  </si>
  <si>
    <t>Ventella</t>
  </si>
  <si>
    <t>V2930</t>
  </si>
  <si>
    <t>A4342</t>
  </si>
  <si>
    <t>A2</t>
  </si>
  <si>
    <t>232e</t>
  </si>
  <si>
    <t>D3129</t>
  </si>
  <si>
    <t>Vans</t>
  </si>
  <si>
    <t>AD-2048</t>
  </si>
  <si>
    <t>Jordan</t>
  </si>
  <si>
    <t>B5-4842</t>
  </si>
  <si>
    <t>Ad-4340</t>
  </si>
  <si>
    <t>ID Reseller</t>
  </si>
  <si>
    <t>Nama Reseller</t>
  </si>
  <si>
    <t>Alamat</t>
  </si>
  <si>
    <t>No.Handphone</t>
  </si>
  <si>
    <t>Email</t>
  </si>
  <si>
    <t>RD-567</t>
  </si>
  <si>
    <t>Rizkal Dwi Prasetyo</t>
  </si>
  <si>
    <t>Yogyakarta</t>
  </si>
  <si>
    <t>rizkaldwip@gmail.com</t>
  </si>
  <si>
    <t>AF-453</t>
  </si>
  <si>
    <t>Afif</t>
  </si>
  <si>
    <t>Bekasi</t>
  </si>
  <si>
    <t>afifwibowo@gmail.com</t>
  </si>
  <si>
    <t>YD-567</t>
  </si>
  <si>
    <t>Yudha Guruh</t>
  </si>
  <si>
    <t>Banten</t>
  </si>
  <si>
    <t>yuda@gmail.com</t>
  </si>
  <si>
    <t>IZZA</t>
  </si>
  <si>
    <t>IZ-432</t>
  </si>
  <si>
    <t>Banjarnegara</t>
  </si>
  <si>
    <t>Izza@gmai.com</t>
  </si>
  <si>
    <t>jadjosdf</t>
  </si>
  <si>
    <t>fdeffd</t>
  </si>
  <si>
    <t>deff</t>
  </si>
  <si>
    <t>AG-421</t>
  </si>
  <si>
    <t>Agnes Regina</t>
  </si>
  <si>
    <t>Tuban</t>
  </si>
  <si>
    <t>Agnes@gmail.com</t>
  </si>
  <si>
    <t>Rydbwq</t>
  </si>
  <si>
    <t>rwerwe</t>
  </si>
  <si>
    <t>fdcdc</t>
  </si>
  <si>
    <t>dfdcd</t>
  </si>
  <si>
    <t>**</t>
  </si>
  <si>
    <t>RP-456</t>
  </si>
  <si>
    <t>Indro</t>
  </si>
  <si>
    <t>Karawang</t>
  </si>
  <si>
    <t>Indro@gmail.com</t>
  </si>
  <si>
    <t>Nama Input</t>
  </si>
  <si>
    <t>Nama Toko</t>
  </si>
  <si>
    <t>Alamat Toko</t>
  </si>
  <si>
    <t>No-HP</t>
  </si>
  <si>
    <t>Rizkal</t>
  </si>
  <si>
    <t>Toko Jogja Online sepatu</t>
  </si>
  <si>
    <t>:</t>
  </si>
  <si>
    <t>ID-Reseller</t>
  </si>
  <si>
    <t xml:space="preserve">Alamat </t>
  </si>
  <si>
    <t>Rp.</t>
  </si>
  <si>
    <t>Bayar</t>
  </si>
  <si>
    <t>Kembalian</t>
  </si>
  <si>
    <t xml:space="preserve">Terima Kasih </t>
  </si>
  <si>
    <t>*Adida*</t>
  </si>
  <si>
    <t>A</t>
  </si>
  <si>
    <t>efwff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</si>
</sst>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4"/>
      <color theme="0"/>
      <name val="Times New Roman"/>
      <family val="1"/>
    </font>
    <font>
      <sz val="2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darkGrid"/>
    </fill>
    <fill>
      <patternFill patternType="solid">
        <fgColor indexed="6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dashed">
        <color auto="1"/>
      </bottom>
      <diagonal/>
    </border>
    <border>
      <left/>
      <right style="thin">
        <color auto="1"/>
      </right>
      <top/>
      <bottom style="dashed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2" xfId="0" applyBorder="1"/>
    <xf numFmtId="0" fontId="0" fillId="0" borderId="3" xfId="0" applyBorder="1"/>
    <xf numFmtId="0" fontId="0" fillId="4" borderId="0" xfId="0" applyFill="1" applyAlignment="1">
      <alignment horizontal="center"/>
    </xf>
    <xf numFmtId="0" fontId="0" fillId="5" borderId="0" xfId="0" applyFill="1"/>
    <xf numFmtId="0" fontId="4" fillId="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/>
    <xf numFmtId="0" fontId="3" fillId="6" borderId="0" xfId="0" applyFont="1" applyFill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6" borderId="10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3" fontId="0" fillId="0" borderId="5" xfId="0" applyNumberFormat="1" applyBorder="1" applyAlignment="1">
      <alignment horizontal="center"/>
    </xf>
    <xf numFmtId="0" fontId="5" fillId="6" borderId="6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14" fontId="2" fillId="0" borderId="9" xfId="0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13" Type="http://schemas.openxmlformats.org/officeDocument/2006/relationships/image" Target="../media/image23.png"/><Relationship Id="rId18" Type="http://schemas.openxmlformats.org/officeDocument/2006/relationships/image" Target="../media/image28.sv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12" Type="http://schemas.openxmlformats.org/officeDocument/2006/relationships/image" Target="../media/image22.svg"/><Relationship Id="rId17" Type="http://schemas.openxmlformats.org/officeDocument/2006/relationships/image" Target="../media/image27.png"/><Relationship Id="rId2" Type="http://schemas.openxmlformats.org/officeDocument/2006/relationships/image" Target="../media/image12.svg"/><Relationship Id="rId16" Type="http://schemas.openxmlformats.org/officeDocument/2006/relationships/image" Target="../media/image26.svg"/><Relationship Id="rId20" Type="http://schemas.openxmlformats.org/officeDocument/2006/relationships/image" Target="../media/image30.svg"/><Relationship Id="rId1" Type="http://schemas.openxmlformats.org/officeDocument/2006/relationships/image" Target="../media/image11.png"/><Relationship Id="rId6" Type="http://schemas.openxmlformats.org/officeDocument/2006/relationships/image" Target="../media/image16.svg"/><Relationship Id="rId11" Type="http://schemas.openxmlformats.org/officeDocument/2006/relationships/image" Target="../media/image21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10" Type="http://schemas.openxmlformats.org/officeDocument/2006/relationships/image" Target="../media/image20.svg"/><Relationship Id="rId19" Type="http://schemas.openxmlformats.org/officeDocument/2006/relationships/image" Target="../media/image29.png"/><Relationship Id="rId4" Type="http://schemas.openxmlformats.org/officeDocument/2006/relationships/image" Target="../media/image14.svg"/><Relationship Id="rId9" Type="http://schemas.openxmlformats.org/officeDocument/2006/relationships/image" Target="../media/image19.png"/><Relationship Id="rId14" Type="http://schemas.openxmlformats.org/officeDocument/2006/relationships/image" Target="../media/image24.sv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6350</xdr:rowOff>
    </xdr:from>
    <xdr:to>
      <xdr:col>2</xdr:col>
      <xdr:colOff>304800</xdr:colOff>
      <xdr:row>32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50" y="6350"/>
          <a:ext cx="1524657" cy="5577271"/>
        </a:xfrm>
        <a:prstGeom prst="rect">
          <a:avLst/>
        </a:prstGeom>
        <a:solidFill>
          <a:srgbClr val="002060"/>
        </a:solidFill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104447</xdr:colOff>
      <xdr:row>0</xdr:row>
      <xdr:rowOff>75617</xdr:rowOff>
    </xdr:from>
    <xdr:to>
      <xdr:col>2</xdr:col>
      <xdr:colOff>189770</xdr:colOff>
      <xdr:row>1</xdr:row>
      <xdr:rowOff>145978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4447" y="75617"/>
          <a:ext cx="1311530" cy="252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Nama</a:t>
          </a:r>
          <a:r>
            <a:rPr lang="en-US" sz="1100" b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US" sz="1100" b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133350</xdr:rowOff>
        </xdr:from>
        <xdr:to>
          <xdr:col>2</xdr:col>
          <xdr:colOff>133350</xdr:colOff>
          <xdr:row>2</xdr:row>
          <xdr:rowOff>177800</xdr:rowOff>
        </xdr:to>
        <xdr:sp macro="" textlink="">
          <xdr:nvSpPr>
            <xdr:cNvPr id="1025" name="namain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34305</xdr:colOff>
      <xdr:row>5</xdr:row>
      <xdr:rowOff>121892</xdr:rowOff>
    </xdr:from>
    <xdr:to>
      <xdr:col>2</xdr:col>
      <xdr:colOff>124081</xdr:colOff>
      <xdr:row>6</xdr:row>
      <xdr:rowOff>153276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4305" y="1034248"/>
          <a:ext cx="1315983" cy="213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Alamat</a:t>
          </a:r>
          <a:r>
            <a:rPr lang="en-US" sz="1100" b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Toko</a:t>
          </a:r>
          <a:endParaRPr lang="en-US" sz="1100" b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387327</xdr:colOff>
      <xdr:row>0</xdr:row>
      <xdr:rowOff>47784</xdr:rowOff>
    </xdr:from>
    <xdr:to>
      <xdr:col>13</xdr:col>
      <xdr:colOff>1204311</xdr:colOff>
      <xdr:row>4</xdr:row>
      <xdr:rowOff>60484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613534" y="47784"/>
          <a:ext cx="11684972" cy="742585"/>
        </a:xfrm>
        <a:prstGeom prst="rect">
          <a:avLst/>
        </a:prstGeom>
        <a:ln>
          <a:noFill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817033</xdr:colOff>
      <xdr:row>0</xdr:row>
      <xdr:rowOff>32456</xdr:rowOff>
    </xdr:from>
    <xdr:to>
      <xdr:col>13</xdr:col>
      <xdr:colOff>302683</xdr:colOff>
      <xdr:row>2</xdr:row>
      <xdr:rowOff>7056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5064477" y="32456"/>
          <a:ext cx="5525206" cy="341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TOKO JOGJA ONLINE SEPATU</a:t>
          </a:r>
        </a:p>
      </xdr:txBody>
    </xdr:sp>
    <xdr:clientData/>
  </xdr:twoCellAnchor>
  <xdr:twoCellAnchor>
    <xdr:from>
      <xdr:col>7</xdr:col>
      <xdr:colOff>337255</xdr:colOff>
      <xdr:row>1</xdr:row>
      <xdr:rowOff>141112</xdr:rowOff>
    </xdr:from>
    <xdr:to>
      <xdr:col>13</xdr:col>
      <xdr:colOff>611011</xdr:colOff>
      <xdr:row>3</xdr:row>
      <xdr:rowOff>116417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584699" y="324556"/>
          <a:ext cx="6313312" cy="3421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TRANSAKS</a:t>
          </a:r>
          <a:r>
            <a:rPr lang="en-US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 JUAL SEPATU &amp; SENDAL</a:t>
          </a:r>
          <a:endParaRPr lang="en-US" sz="1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70799</xdr:colOff>
      <xdr:row>8</xdr:row>
      <xdr:rowOff>44158</xdr:rowOff>
    </xdr:from>
    <xdr:to>
      <xdr:col>1</xdr:col>
      <xdr:colOff>489899</xdr:colOff>
      <xdr:row>9</xdr:row>
      <xdr:rowOff>144079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70799" y="1503928"/>
          <a:ext cx="1032203" cy="282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No.Telpon</a:t>
          </a:r>
        </a:p>
      </xdr:txBody>
    </xdr:sp>
    <xdr:clientData/>
  </xdr:twoCellAnchor>
  <xdr:twoCellAnchor>
    <xdr:from>
      <xdr:col>0</xdr:col>
      <xdr:colOff>6350</xdr:colOff>
      <xdr:row>11</xdr:row>
      <xdr:rowOff>147741</xdr:rowOff>
    </xdr:from>
    <xdr:to>
      <xdr:col>2</xdr:col>
      <xdr:colOff>301936</xdr:colOff>
      <xdr:row>12</xdr:row>
      <xdr:rowOff>44436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350" y="2052741"/>
          <a:ext cx="1521793" cy="79166"/>
        </a:xfrm>
        <a:prstGeom prst="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303389</xdr:colOff>
      <xdr:row>12</xdr:row>
      <xdr:rowOff>119945</xdr:rowOff>
    </xdr:from>
    <xdr:to>
      <xdr:col>1</xdr:col>
      <xdr:colOff>543278</xdr:colOff>
      <xdr:row>17</xdr:row>
      <xdr:rowOff>105833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03389" y="2321278"/>
          <a:ext cx="846667" cy="90311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338665</xdr:colOff>
      <xdr:row>12</xdr:row>
      <xdr:rowOff>105834</xdr:rowOff>
    </xdr:from>
    <xdr:to>
      <xdr:col>1</xdr:col>
      <xdr:colOff>500944</xdr:colOff>
      <xdr:row>16</xdr:row>
      <xdr:rowOff>148413</xdr:rowOff>
    </xdr:to>
    <xdr:pic>
      <xdr:nvPicPr>
        <xdr:cNvPr id="21" name="Graphic 20" descr="Bar chart RTL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8665" y="2307167"/>
          <a:ext cx="769057" cy="769057"/>
        </a:xfrm>
        <a:prstGeom prst="rect">
          <a:avLst/>
        </a:prstGeom>
      </xdr:spPr>
    </xdr:pic>
    <xdr:clientData/>
  </xdr:twoCellAnchor>
  <xdr:twoCellAnchor>
    <xdr:from>
      <xdr:col>0</xdr:col>
      <xdr:colOff>423332</xdr:colOff>
      <xdr:row>16</xdr:row>
      <xdr:rowOff>28224</xdr:rowOff>
    </xdr:from>
    <xdr:to>
      <xdr:col>1</xdr:col>
      <xdr:colOff>423333</xdr:colOff>
      <xdr:row>17</xdr:row>
      <xdr:rowOff>77611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423332" y="2963335"/>
          <a:ext cx="606779" cy="232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Report</a:t>
          </a:r>
        </a:p>
      </xdr:txBody>
    </xdr:sp>
    <xdr:clientData/>
  </xdr:twoCellAnchor>
  <xdr:twoCellAnchor>
    <xdr:from>
      <xdr:col>0</xdr:col>
      <xdr:colOff>293512</xdr:colOff>
      <xdr:row>19</xdr:row>
      <xdr:rowOff>39511</xdr:rowOff>
    </xdr:from>
    <xdr:to>
      <xdr:col>1</xdr:col>
      <xdr:colOff>533401</xdr:colOff>
      <xdr:row>24</xdr:row>
      <xdr:rowOff>25399</xdr:rowOff>
    </xdr:to>
    <xdr:sp macro="[0]!Bukadatabas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3512" y="3524955"/>
          <a:ext cx="846667" cy="90311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423335</xdr:colOff>
      <xdr:row>19</xdr:row>
      <xdr:rowOff>35282</xdr:rowOff>
    </xdr:from>
    <xdr:to>
      <xdr:col>1</xdr:col>
      <xdr:colOff>522113</xdr:colOff>
      <xdr:row>23</xdr:row>
      <xdr:rowOff>7061</xdr:rowOff>
    </xdr:to>
    <xdr:pic macro="[0]!Bukadatabase">
      <xdr:nvPicPr>
        <xdr:cNvPr id="25" name="Graphic 24" descr="Open folder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3335" y="3520726"/>
          <a:ext cx="705556" cy="705556"/>
        </a:xfrm>
        <a:prstGeom prst="rect">
          <a:avLst/>
        </a:prstGeom>
      </xdr:spPr>
    </xdr:pic>
    <xdr:clientData/>
  </xdr:twoCellAnchor>
  <xdr:twoCellAnchor>
    <xdr:from>
      <xdr:col>0</xdr:col>
      <xdr:colOff>321733</xdr:colOff>
      <xdr:row>22</xdr:row>
      <xdr:rowOff>103012</xdr:rowOff>
    </xdr:from>
    <xdr:to>
      <xdr:col>1</xdr:col>
      <xdr:colOff>550334</xdr:colOff>
      <xdr:row>24</xdr:row>
      <xdr:rowOff>21166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321733" y="4138790"/>
          <a:ext cx="835379" cy="285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Database</a:t>
          </a:r>
        </a:p>
      </xdr:txBody>
    </xdr:sp>
    <xdr:clientData/>
  </xdr:twoCellAnchor>
  <xdr:twoCellAnchor>
    <xdr:from>
      <xdr:col>0</xdr:col>
      <xdr:colOff>318912</xdr:colOff>
      <xdr:row>25</xdr:row>
      <xdr:rowOff>177801</xdr:rowOff>
    </xdr:from>
    <xdr:to>
      <xdr:col>1</xdr:col>
      <xdr:colOff>558801</xdr:colOff>
      <xdr:row>30</xdr:row>
      <xdr:rowOff>163690</xdr:rowOff>
    </xdr:to>
    <xdr:sp macro="[0]!Urut_reseller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318912" y="4763912"/>
          <a:ext cx="846667" cy="90311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373944</xdr:colOff>
      <xdr:row>25</xdr:row>
      <xdr:rowOff>155222</xdr:rowOff>
    </xdr:from>
    <xdr:to>
      <xdr:col>1</xdr:col>
      <xdr:colOff>529166</xdr:colOff>
      <xdr:row>30</xdr:row>
      <xdr:rowOff>84666</xdr:rowOff>
    </xdr:to>
    <xdr:pic macro="[0]!Bukareseller">
      <xdr:nvPicPr>
        <xdr:cNvPr id="30" name="Graphic 29" descr="Handshake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3944" y="4741333"/>
          <a:ext cx="762000" cy="762000"/>
        </a:xfrm>
        <a:prstGeom prst="rect">
          <a:avLst/>
        </a:prstGeom>
      </xdr:spPr>
    </xdr:pic>
    <xdr:clientData/>
  </xdr:twoCellAnchor>
  <xdr:twoCellAnchor>
    <xdr:from>
      <xdr:col>0</xdr:col>
      <xdr:colOff>340078</xdr:colOff>
      <xdr:row>29</xdr:row>
      <xdr:rowOff>50801</xdr:rowOff>
    </xdr:from>
    <xdr:to>
      <xdr:col>1</xdr:col>
      <xdr:colOff>568679</xdr:colOff>
      <xdr:row>30</xdr:row>
      <xdr:rowOff>152400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340078" y="5370690"/>
          <a:ext cx="835379" cy="285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Reseller</a:t>
          </a:r>
        </a:p>
      </xdr:txBody>
    </xdr:sp>
    <xdr:clientData/>
  </xdr:twoCellAnchor>
  <xdr:twoCellAnchor>
    <xdr:from>
      <xdr:col>6</xdr:col>
      <xdr:colOff>599724</xdr:colOff>
      <xdr:row>5</xdr:row>
      <xdr:rowOff>28222</xdr:rowOff>
    </xdr:from>
    <xdr:to>
      <xdr:col>8</xdr:col>
      <xdr:colOff>737185</xdr:colOff>
      <xdr:row>9</xdr:row>
      <xdr:rowOff>972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4365931" y="940578"/>
          <a:ext cx="1728610" cy="702635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1725792</xdr:colOff>
      <xdr:row>5</xdr:row>
      <xdr:rowOff>40487</xdr:rowOff>
    </xdr:from>
    <xdr:to>
      <xdr:col>9</xdr:col>
      <xdr:colOff>1175115</xdr:colOff>
      <xdr:row>9</xdr:row>
      <xdr:rowOff>29198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995562" y="952843"/>
          <a:ext cx="1967427" cy="718596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614518</xdr:colOff>
      <xdr:row>5</xdr:row>
      <xdr:rowOff>66128</xdr:rowOff>
    </xdr:from>
    <xdr:to>
      <xdr:col>13</xdr:col>
      <xdr:colOff>204368</xdr:colOff>
      <xdr:row>9</xdr:row>
      <xdr:rowOff>37467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92794" y="978484"/>
          <a:ext cx="2005769" cy="701224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1776818</xdr:colOff>
      <xdr:row>5</xdr:row>
      <xdr:rowOff>132678</xdr:rowOff>
    </xdr:from>
    <xdr:to>
      <xdr:col>8</xdr:col>
      <xdr:colOff>2214632</xdr:colOff>
      <xdr:row>8</xdr:row>
      <xdr:rowOff>22843</xdr:rowOff>
    </xdr:to>
    <xdr:pic>
      <xdr:nvPicPr>
        <xdr:cNvPr id="36" name="Graphic 35" descr="Database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134174" y="1045034"/>
          <a:ext cx="437814" cy="437579"/>
        </a:xfrm>
        <a:prstGeom prst="rect">
          <a:avLst/>
        </a:prstGeom>
      </xdr:spPr>
    </xdr:pic>
    <xdr:clientData/>
  </xdr:twoCellAnchor>
  <xdr:twoCellAnchor editAs="oneCell">
    <xdr:from>
      <xdr:col>7</xdr:col>
      <xdr:colOff>43902</xdr:colOff>
      <xdr:row>5</xdr:row>
      <xdr:rowOff>8513</xdr:rowOff>
    </xdr:from>
    <xdr:to>
      <xdr:col>7</xdr:col>
      <xdr:colOff>486607</xdr:colOff>
      <xdr:row>7</xdr:row>
      <xdr:rowOff>84052</xdr:rowOff>
    </xdr:to>
    <xdr:pic>
      <xdr:nvPicPr>
        <xdr:cNvPr id="38" name="Graphic 37" descr="Money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423212" y="920869"/>
          <a:ext cx="442705" cy="440482"/>
        </a:xfrm>
        <a:prstGeom prst="rect">
          <a:avLst/>
        </a:prstGeom>
      </xdr:spPr>
    </xdr:pic>
    <xdr:clientData/>
  </xdr:twoCellAnchor>
  <xdr:twoCellAnchor editAs="oneCell">
    <xdr:from>
      <xdr:col>11</xdr:col>
      <xdr:colOff>619916</xdr:colOff>
      <xdr:row>5</xdr:row>
      <xdr:rowOff>80045</xdr:rowOff>
    </xdr:from>
    <xdr:to>
      <xdr:col>12</xdr:col>
      <xdr:colOff>15814</xdr:colOff>
      <xdr:row>8</xdr:row>
      <xdr:rowOff>115322</xdr:rowOff>
    </xdr:to>
    <xdr:pic>
      <xdr:nvPicPr>
        <xdr:cNvPr id="40" name="Graphic 39" descr="Upward trend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385778" y="992401"/>
          <a:ext cx="585611" cy="582691"/>
        </a:xfrm>
        <a:prstGeom prst="rect">
          <a:avLst/>
        </a:prstGeom>
      </xdr:spPr>
    </xdr:pic>
    <xdr:clientData/>
  </xdr:twoCellAnchor>
  <xdr:twoCellAnchor>
    <xdr:from>
      <xdr:col>2</xdr:col>
      <xdr:colOff>386839</xdr:colOff>
      <xdr:row>4</xdr:row>
      <xdr:rowOff>112889</xdr:rowOff>
    </xdr:from>
    <xdr:to>
      <xdr:col>6</xdr:col>
      <xdr:colOff>29195</xdr:colOff>
      <xdr:row>32</xdr:row>
      <xdr:rowOff>1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613046" y="842774"/>
          <a:ext cx="2182356" cy="4740848"/>
        </a:xfrm>
        <a:prstGeom prst="rect">
          <a:avLst/>
        </a:prstGeom>
        <a:solidFill>
          <a:schemeClr val="tx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248330</xdr:colOff>
      <xdr:row>5</xdr:row>
      <xdr:rowOff>147972</xdr:rowOff>
    </xdr:from>
    <xdr:to>
      <xdr:col>5</xdr:col>
      <xdr:colOff>393649</xdr:colOff>
      <xdr:row>7</xdr:row>
      <xdr:rowOff>65422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2087640" y="1060328"/>
          <a:ext cx="2313078" cy="282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Cari Barang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431800</xdr:colOff>
          <xdr:row>7</xdr:row>
          <xdr:rowOff>31750</xdr:rowOff>
        </xdr:from>
        <xdr:to>
          <xdr:col>4</xdr:col>
          <xdr:colOff>876300</xdr:colOff>
          <xdr:row>8</xdr:row>
          <xdr:rowOff>152400</xdr:rowOff>
        </xdr:to>
        <xdr:sp macro="" textlink="">
          <xdr:nvSpPr>
            <xdr:cNvPr id="1029" name="Caribarang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1051035</xdr:colOff>
      <xdr:row>7</xdr:row>
      <xdr:rowOff>43792</xdr:rowOff>
    </xdr:from>
    <xdr:to>
      <xdr:col>5</xdr:col>
      <xdr:colOff>532085</xdr:colOff>
      <xdr:row>8</xdr:row>
      <xdr:rowOff>163494</xdr:rowOff>
    </xdr:to>
    <xdr:sp macro="[0]!BukaHasil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3861092" y="1321091"/>
          <a:ext cx="678062" cy="302173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Iya</a:t>
          </a:r>
        </a:p>
      </xdr:txBody>
    </xdr:sp>
    <xdr:clientData/>
  </xdr:twoCellAnchor>
  <xdr:twoCellAnchor>
    <xdr:from>
      <xdr:col>7</xdr:col>
      <xdr:colOff>177871</xdr:colOff>
      <xdr:row>28</xdr:row>
      <xdr:rowOff>93086</xdr:rowOff>
    </xdr:from>
    <xdr:to>
      <xdr:col>8</xdr:col>
      <xdr:colOff>191081</xdr:colOff>
      <xdr:row>30</xdr:row>
      <xdr:rowOff>10534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4557181" y="5005212"/>
          <a:ext cx="991256" cy="282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Harga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215900</xdr:colOff>
          <xdr:row>28</xdr:row>
          <xdr:rowOff>139700</xdr:rowOff>
        </xdr:from>
        <xdr:to>
          <xdr:col>8</xdr:col>
          <xdr:colOff>1473200</xdr:colOff>
          <xdr:row>30</xdr:row>
          <xdr:rowOff>6350</xdr:rowOff>
        </xdr:to>
        <xdr:sp macro="" textlink="">
          <xdr:nvSpPr>
            <xdr:cNvPr id="1031" name="Totalharg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1958167</xdr:colOff>
      <xdr:row>28</xdr:row>
      <xdr:rowOff>128762</xdr:rowOff>
    </xdr:from>
    <xdr:to>
      <xdr:col>11</xdr:col>
      <xdr:colOff>537104</xdr:colOff>
      <xdr:row>30</xdr:row>
      <xdr:rowOff>46210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7315523" y="5040888"/>
          <a:ext cx="2987443" cy="282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Bayar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28</xdr:row>
          <xdr:rowOff>152400</xdr:rowOff>
        </xdr:from>
        <xdr:to>
          <xdr:col>10</xdr:col>
          <xdr:colOff>38100</xdr:colOff>
          <xdr:row>30</xdr:row>
          <xdr:rowOff>19050</xdr:rowOff>
        </xdr:to>
        <xdr:sp macro="" textlink="">
          <xdr:nvSpPr>
            <xdr:cNvPr id="1032" name="Bay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242324</xdr:colOff>
      <xdr:row>28</xdr:row>
      <xdr:rowOff>172522</xdr:rowOff>
    </xdr:from>
    <xdr:to>
      <xdr:col>12</xdr:col>
      <xdr:colOff>7299</xdr:colOff>
      <xdr:row>30</xdr:row>
      <xdr:rowOff>51092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10008186" y="5084648"/>
          <a:ext cx="954688" cy="2435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Kembalian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190500</xdr:colOff>
          <xdr:row>28</xdr:row>
          <xdr:rowOff>165100</xdr:rowOff>
        </xdr:from>
        <xdr:to>
          <xdr:col>14</xdr:col>
          <xdr:colOff>12700</xdr:colOff>
          <xdr:row>30</xdr:row>
          <xdr:rowOff>31750</xdr:rowOff>
        </xdr:to>
        <xdr:sp macro="" textlink="">
          <xdr:nvSpPr>
            <xdr:cNvPr id="1033" name="Kembalia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75940</xdr:colOff>
      <xdr:row>13</xdr:row>
      <xdr:rowOff>154127</xdr:rowOff>
    </xdr:from>
    <xdr:to>
      <xdr:col>6</xdr:col>
      <xdr:colOff>569829</xdr:colOff>
      <xdr:row>16</xdr:row>
      <xdr:rowOff>34183</xdr:rowOff>
    </xdr:to>
    <xdr:sp macro="[0]!buy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3730430" y="2415505"/>
          <a:ext cx="493889" cy="424341"/>
        </a:xfrm>
        <a:prstGeom prst="rect">
          <a:avLst/>
        </a:prstGeom>
        <a:solidFill>
          <a:schemeClr val="accent3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86654</xdr:colOff>
      <xdr:row>18</xdr:row>
      <xdr:rowOff>10194</xdr:rowOff>
    </xdr:from>
    <xdr:to>
      <xdr:col>6</xdr:col>
      <xdr:colOff>580543</xdr:colOff>
      <xdr:row>20</xdr:row>
      <xdr:rowOff>73693</xdr:rowOff>
    </xdr:to>
    <xdr:sp macro="[0]!bersihkan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3741144" y="3178714"/>
          <a:ext cx="493889" cy="426357"/>
        </a:xfrm>
        <a:prstGeom prst="rect">
          <a:avLst/>
        </a:prstGeom>
        <a:solidFill>
          <a:schemeClr val="accent3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90887</xdr:colOff>
      <xdr:row>22</xdr:row>
      <xdr:rowOff>11979</xdr:rowOff>
    </xdr:from>
    <xdr:to>
      <xdr:col>6</xdr:col>
      <xdr:colOff>584776</xdr:colOff>
      <xdr:row>24</xdr:row>
      <xdr:rowOff>75479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3745377" y="3906214"/>
          <a:ext cx="493889" cy="426357"/>
        </a:xfrm>
        <a:prstGeom prst="rect">
          <a:avLst/>
        </a:prstGeom>
        <a:solidFill>
          <a:schemeClr val="accent3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214738</xdr:colOff>
      <xdr:row>14</xdr:row>
      <xdr:rowOff>423</xdr:rowOff>
    </xdr:from>
    <xdr:to>
      <xdr:col>6</xdr:col>
      <xdr:colOff>440513</xdr:colOff>
      <xdr:row>15</xdr:row>
      <xdr:rowOff>42753</xdr:rowOff>
    </xdr:to>
    <xdr:pic macro="[0]!buy">
      <xdr:nvPicPr>
        <xdr:cNvPr id="58" name="Graphic 57" descr="Shopping cart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93359" y="2445538"/>
          <a:ext cx="225775" cy="224801"/>
        </a:xfrm>
        <a:prstGeom prst="rect">
          <a:avLst/>
        </a:prstGeom>
      </xdr:spPr>
    </xdr:pic>
    <xdr:clientData/>
  </xdr:twoCellAnchor>
  <xdr:twoCellAnchor>
    <xdr:from>
      <xdr:col>6</xdr:col>
      <xdr:colOff>143896</xdr:colOff>
      <xdr:row>15</xdr:row>
      <xdr:rowOff>856</xdr:rowOff>
    </xdr:from>
    <xdr:to>
      <xdr:col>7</xdr:col>
      <xdr:colOff>90275</xdr:colOff>
      <xdr:row>15</xdr:row>
      <xdr:rowOff>168174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3798386" y="2625091"/>
          <a:ext cx="555460" cy="167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Beli</a:t>
          </a:r>
        </a:p>
      </xdr:txBody>
    </xdr:sp>
    <xdr:clientData/>
  </xdr:twoCellAnchor>
  <xdr:twoCellAnchor editAs="oneCell">
    <xdr:from>
      <xdr:col>6</xdr:col>
      <xdr:colOff>194389</xdr:colOff>
      <xdr:row>18</xdr:row>
      <xdr:rowOff>19441</xdr:rowOff>
    </xdr:from>
    <xdr:to>
      <xdr:col>6</xdr:col>
      <xdr:colOff>479490</xdr:colOff>
      <xdr:row>19</xdr:row>
      <xdr:rowOff>123113</xdr:rowOff>
    </xdr:to>
    <xdr:pic macro="[0]!bersihkan">
      <xdr:nvPicPr>
        <xdr:cNvPr id="62" name="Graphic 61" descr="Erase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3848879" y="3187961"/>
          <a:ext cx="285101" cy="285101"/>
        </a:xfrm>
        <a:prstGeom prst="rect">
          <a:avLst/>
        </a:prstGeom>
      </xdr:spPr>
    </xdr:pic>
    <xdr:clientData/>
  </xdr:twoCellAnchor>
  <xdr:twoCellAnchor>
    <xdr:from>
      <xdr:col>6</xdr:col>
      <xdr:colOff>71255</xdr:colOff>
      <xdr:row>19</xdr:row>
      <xdr:rowOff>55420</xdr:rowOff>
    </xdr:from>
    <xdr:to>
      <xdr:col>7</xdr:col>
      <xdr:colOff>17634</xdr:colOff>
      <xdr:row>20</xdr:row>
      <xdr:rowOff>41309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3725745" y="3405369"/>
          <a:ext cx="555460" cy="167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Hapus</a:t>
          </a:r>
        </a:p>
      </xdr:txBody>
    </xdr:sp>
    <xdr:clientData/>
  </xdr:twoCellAnchor>
  <xdr:twoCellAnchor editAs="oneCell">
    <xdr:from>
      <xdr:col>6</xdr:col>
      <xdr:colOff>213825</xdr:colOff>
      <xdr:row>22</xdr:row>
      <xdr:rowOff>45356</xdr:rowOff>
    </xdr:from>
    <xdr:to>
      <xdr:col>6</xdr:col>
      <xdr:colOff>479490</xdr:colOff>
      <xdr:row>23</xdr:row>
      <xdr:rowOff>129593</xdr:rowOff>
    </xdr:to>
    <xdr:pic macro="[0]!printtransaksi">
      <xdr:nvPicPr>
        <xdr:cNvPr id="1034" name="Graphic 1033" descr="Printer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3868315" y="3939591"/>
          <a:ext cx="265665" cy="265665"/>
        </a:xfrm>
        <a:prstGeom prst="rect">
          <a:avLst/>
        </a:prstGeom>
      </xdr:spPr>
    </xdr:pic>
    <xdr:clientData/>
  </xdr:twoCellAnchor>
  <xdr:twoCellAnchor>
    <xdr:from>
      <xdr:col>6</xdr:col>
      <xdr:colOff>145899</xdr:colOff>
      <xdr:row>23</xdr:row>
      <xdr:rowOff>91187</xdr:rowOff>
    </xdr:from>
    <xdr:to>
      <xdr:col>7</xdr:col>
      <xdr:colOff>92278</xdr:colOff>
      <xdr:row>24</xdr:row>
      <xdr:rowOff>77076</xdr:rowOff>
    </xdr:to>
    <xdr:sp macro="" textlink="">
      <xdr:nvSpPr>
        <xdr:cNvPr id="1036" name="TextBox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 txBox="1"/>
      </xdr:nvSpPr>
      <xdr:spPr>
        <a:xfrm>
          <a:off x="3800389" y="4166850"/>
          <a:ext cx="555460" cy="167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Print</a:t>
          </a:r>
        </a:p>
      </xdr:txBody>
    </xdr:sp>
    <xdr:clientData/>
  </xdr:twoCellAnchor>
  <xdr:twoCellAnchor>
    <xdr:from>
      <xdr:col>8</xdr:col>
      <xdr:colOff>2256197</xdr:colOff>
      <xdr:row>5</xdr:row>
      <xdr:rowOff>160767</xdr:rowOff>
    </xdr:from>
    <xdr:to>
      <xdr:col>9</xdr:col>
      <xdr:colOff>1025488</xdr:colOff>
      <xdr:row>7</xdr:row>
      <xdr:rowOff>91008</xdr:rowOff>
    </xdr:to>
    <xdr:sp macro="" textlink="">
      <xdr:nvSpPr>
        <xdr:cNvPr id="1039" name="TextBox 1038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 txBox="1"/>
      </xdr:nvSpPr>
      <xdr:spPr>
        <a:xfrm>
          <a:off x="7613553" y="1073123"/>
          <a:ext cx="1287395" cy="2951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50</a:t>
          </a:r>
          <a:r>
            <a:rPr lang="en-US" sz="16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Sepatu</a:t>
          </a:r>
          <a:endParaRPr lang="en-US" sz="1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1168591</xdr:colOff>
      <xdr:row>5</xdr:row>
      <xdr:rowOff>116441</xdr:rowOff>
    </xdr:from>
    <xdr:to>
      <xdr:col>12</xdr:col>
      <xdr:colOff>1162242</xdr:colOff>
      <xdr:row>7</xdr:row>
      <xdr:rowOff>40638</xdr:rowOff>
    </xdr:to>
    <xdr:sp macro="" textlink="">
      <xdr:nvSpPr>
        <xdr:cNvPr id="1040" name="TextBox 1039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 txBox="1"/>
      </xdr:nvSpPr>
      <xdr:spPr>
        <a:xfrm>
          <a:off x="10846867" y="1028797"/>
          <a:ext cx="1183364" cy="2891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500</a:t>
          </a:r>
          <a:r>
            <a:rPr lang="en-US" sz="1200" b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Sepatu</a:t>
          </a:r>
          <a:endParaRPr lang="en-US" sz="1200" b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191887</xdr:colOff>
      <xdr:row>1</xdr:row>
      <xdr:rowOff>87148</xdr:rowOff>
    </xdr:from>
    <xdr:to>
      <xdr:col>12</xdr:col>
      <xdr:colOff>373699</xdr:colOff>
      <xdr:row>3</xdr:row>
      <xdr:rowOff>4598</xdr:rowOff>
    </xdr:to>
    <xdr:sp macro="" textlink="">
      <xdr:nvSpPr>
        <xdr:cNvPr id="1046" name="TextBox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 txBox="1"/>
      </xdr:nvSpPr>
      <xdr:spPr>
        <a:xfrm>
          <a:off x="9957749" y="269619"/>
          <a:ext cx="1371525" cy="2823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Tanggal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933450</xdr:colOff>
          <xdr:row>1</xdr:row>
          <xdr:rowOff>95250</xdr:rowOff>
        </xdr:from>
        <xdr:to>
          <xdr:col>12</xdr:col>
          <xdr:colOff>1009650</xdr:colOff>
          <xdr:row>2</xdr:row>
          <xdr:rowOff>146050</xdr:rowOff>
        </xdr:to>
        <xdr:sp macro="" textlink="">
          <xdr:nvSpPr>
            <xdr:cNvPr id="9" name="Tanggal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1032277</xdr:colOff>
      <xdr:row>1</xdr:row>
      <xdr:rowOff>0</xdr:rowOff>
    </xdr:from>
    <xdr:to>
      <xdr:col>13</xdr:col>
      <xdr:colOff>207506</xdr:colOff>
      <xdr:row>3</xdr:row>
      <xdr:rowOff>36493</xdr:rowOff>
    </xdr:to>
    <xdr:pic>
      <xdr:nvPicPr>
        <xdr:cNvPr id="1049" name="Graphic 1048" descr="Daily calendar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1987852" y="182471"/>
          <a:ext cx="401436" cy="4014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552450</xdr:colOff>
          <xdr:row>10</xdr:row>
          <xdr:rowOff>31750</xdr:rowOff>
        </xdr:from>
        <xdr:to>
          <xdr:col>5</xdr:col>
          <xdr:colOff>444500</xdr:colOff>
          <xdr:row>29</xdr:row>
          <xdr:rowOff>88900</xdr:rowOff>
        </xdr:to>
        <xdr:sp macro="" textlink="">
          <xdr:nvSpPr>
            <xdr:cNvPr id="10" name="Tabeldat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81674</xdr:colOff>
      <xdr:row>3</xdr:row>
      <xdr:rowOff>1752</xdr:rowOff>
    </xdr:from>
    <xdr:to>
      <xdr:col>2</xdr:col>
      <xdr:colOff>166997</xdr:colOff>
      <xdr:row>4</xdr:row>
      <xdr:rowOff>72113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81674" y="549166"/>
          <a:ext cx="1311530" cy="252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Nama Toko</a:t>
          </a:r>
          <a:r>
            <a:rPr lang="en-US" sz="1100" b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US" sz="1100" b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4</xdr:row>
          <xdr:rowOff>63500</xdr:rowOff>
        </xdr:from>
        <xdr:to>
          <xdr:col>2</xdr:col>
          <xdr:colOff>133350</xdr:colOff>
          <xdr:row>5</xdr:row>
          <xdr:rowOff>107950</xdr:rowOff>
        </xdr:to>
        <xdr:sp macro="" textlink="">
          <xdr:nvSpPr>
            <xdr:cNvPr id="1037" name="Namatoko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6</xdr:row>
          <xdr:rowOff>165100</xdr:rowOff>
        </xdr:from>
        <xdr:to>
          <xdr:col>2</xdr:col>
          <xdr:colOff>165100</xdr:colOff>
          <xdr:row>8</xdr:row>
          <xdr:rowOff>25400</xdr:rowOff>
        </xdr:to>
        <xdr:sp macro="" textlink="">
          <xdr:nvSpPr>
            <xdr:cNvPr id="1038" name="Alamattok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139700</xdr:colOff>
          <xdr:row>9</xdr:row>
          <xdr:rowOff>114300</xdr:rowOff>
        </xdr:from>
        <xdr:to>
          <xdr:col>2</xdr:col>
          <xdr:colOff>177800</xdr:colOff>
          <xdr:row>11</xdr:row>
          <xdr:rowOff>76200</xdr:rowOff>
        </xdr:to>
        <xdr:sp macro="" textlink="">
          <xdr:nvSpPr>
            <xdr:cNvPr id="12" name="Nohandphone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461786</xdr:colOff>
      <xdr:row>5</xdr:row>
      <xdr:rowOff>71207</xdr:rowOff>
    </xdr:from>
    <xdr:to>
      <xdr:col>8</xdr:col>
      <xdr:colOff>715288</xdr:colOff>
      <xdr:row>7</xdr:row>
      <xdr:rowOff>14598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4841096" y="983563"/>
          <a:ext cx="1231548" cy="3083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Rp. 50.000.000</a:t>
          </a:r>
        </a:p>
      </xdr:txBody>
    </xdr:sp>
    <xdr:clientData/>
  </xdr:twoCellAnchor>
  <xdr:twoCellAnchor>
    <xdr:from>
      <xdr:col>7</xdr:col>
      <xdr:colOff>424416</xdr:colOff>
      <xdr:row>6</xdr:row>
      <xdr:rowOff>99526</xdr:rowOff>
    </xdr:from>
    <xdr:to>
      <xdr:col>8</xdr:col>
      <xdr:colOff>853965</xdr:colOff>
      <xdr:row>8</xdr:row>
      <xdr:rowOff>42918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4803726" y="1194354"/>
          <a:ext cx="1407595" cy="3083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Rp. 18.000.000</a:t>
          </a:r>
        </a:p>
      </xdr:txBody>
    </xdr:sp>
    <xdr:clientData/>
  </xdr:twoCellAnchor>
  <xdr:twoCellAnchor>
    <xdr:from>
      <xdr:col>11</xdr:col>
      <xdr:colOff>1183189</xdr:colOff>
      <xdr:row>6</xdr:row>
      <xdr:rowOff>123739</xdr:rowOff>
    </xdr:from>
    <xdr:to>
      <xdr:col>12</xdr:col>
      <xdr:colOff>1176840</xdr:colOff>
      <xdr:row>8</xdr:row>
      <xdr:rowOff>47937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0949051" y="1218567"/>
          <a:ext cx="1183364" cy="2891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80 Sepatu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FE2FB-F86D-4B3D-9D97-E0276AD32239}">
  <sheetPr codeName="Sheet1"/>
  <dimension ref="H11:W32"/>
  <sheetViews>
    <sheetView tabSelected="1" topLeftCell="A3" zoomScale="78" zoomScaleNormal="60" workbookViewId="0">
      <selection activeCell="H28" sqref="G28:H32"/>
    </sheetView>
  </sheetViews>
  <sheetFormatPr defaultRowHeight="14.5" x14ac:dyDescent="0.35"/>
  <cols>
    <col min="4" max="4" width="6" customWidth="1"/>
    <col min="5" max="5" width="12.81640625" customWidth="1"/>
    <col min="8" max="8" width="14" customWidth="1"/>
    <col min="9" max="9" width="36.08984375" customWidth="1"/>
    <col min="10" max="10" width="18.26953125" customWidth="1"/>
    <col min="12" max="12" width="17" customWidth="1"/>
    <col min="13" max="13" width="17.453125" customWidth="1"/>
    <col min="14" max="14" width="3" customWidth="1"/>
  </cols>
  <sheetData>
    <row r="11" spans="8:23" ht="6.5" customHeight="1" x14ac:dyDescent="0.35">
      <c r="H11" s="1"/>
      <c r="I11" s="1"/>
      <c r="J11" s="1"/>
      <c r="K11" s="1"/>
      <c r="L11" s="1"/>
      <c r="M11" s="1"/>
      <c r="N11" s="1"/>
      <c r="O11" s="2"/>
      <c r="P11" s="2"/>
      <c r="Q11" s="2"/>
      <c r="R11" s="2"/>
      <c r="S11" s="2"/>
      <c r="T11" s="2"/>
      <c r="U11" s="2"/>
      <c r="V11" s="2"/>
      <c r="W11" s="2"/>
    </row>
    <row r="12" spans="8:23" x14ac:dyDescent="0.35">
      <c r="P12" s="2"/>
      <c r="Q12" s="2"/>
      <c r="R12" s="2"/>
    </row>
    <row r="13" spans="8:23" x14ac:dyDescent="0.35">
      <c r="H13" s="7" t="s">
        <v>3</v>
      </c>
      <c r="I13" s="7" t="s">
        <v>4</v>
      </c>
      <c r="J13" s="7" t="s">
        <v>2</v>
      </c>
      <c r="K13" s="7" t="s">
        <v>0</v>
      </c>
      <c r="L13" s="7" t="s">
        <v>5</v>
      </c>
      <c r="M13" s="7" t="s">
        <v>1</v>
      </c>
    </row>
    <row r="14" spans="8:23" ht="14" customHeight="1" x14ac:dyDescent="0.35">
      <c r="H14" s="3" t="s">
        <v>13</v>
      </c>
      <c r="I14" s="3" t="s">
        <v>14</v>
      </c>
      <c r="J14" s="3">
        <v>32</v>
      </c>
      <c r="K14" s="3">
        <v>1</v>
      </c>
      <c r="L14" s="3">
        <v>450000</v>
      </c>
      <c r="M14" s="14">
        <f>K14*L14</f>
        <v>450000</v>
      </c>
    </row>
    <row r="15" spans="8:23" x14ac:dyDescent="0.35">
      <c r="H15" s="3" t="s">
        <v>11</v>
      </c>
      <c r="I15" s="3" t="s">
        <v>12</v>
      </c>
      <c r="J15" s="3">
        <v>45</v>
      </c>
      <c r="K15" s="3">
        <v>1</v>
      </c>
      <c r="L15" s="3">
        <v>500000</v>
      </c>
      <c r="M15" s="14">
        <f t="shared" ref="M15:M25" si="0">K15*L15</f>
        <v>500000</v>
      </c>
    </row>
    <row r="16" spans="8:23" x14ac:dyDescent="0.35">
      <c r="H16" s="3" t="s">
        <v>17</v>
      </c>
      <c r="I16" s="3" t="s">
        <v>16</v>
      </c>
      <c r="J16" s="3">
        <v>30</v>
      </c>
      <c r="K16" s="3">
        <v>1</v>
      </c>
      <c r="L16" s="3">
        <v>500000</v>
      </c>
      <c r="M16" s="14">
        <f t="shared" si="0"/>
        <v>500000</v>
      </c>
    </row>
    <row r="17" spans="8:15" x14ac:dyDescent="0.35">
      <c r="H17" s="3"/>
      <c r="I17" s="3"/>
      <c r="J17" s="3"/>
      <c r="K17" s="3"/>
      <c r="L17" s="3"/>
      <c r="M17" s="14">
        <f t="shared" si="0"/>
        <v>0</v>
      </c>
    </row>
    <row r="18" spans="8:15" x14ac:dyDescent="0.35">
      <c r="H18" s="3"/>
      <c r="I18" s="3"/>
      <c r="J18" s="3"/>
      <c r="K18" s="3"/>
      <c r="L18" s="3"/>
      <c r="M18" s="14">
        <f t="shared" si="0"/>
        <v>0</v>
      </c>
    </row>
    <row r="19" spans="8:15" x14ac:dyDescent="0.35">
      <c r="H19" s="3"/>
      <c r="I19" s="3"/>
      <c r="J19" s="3"/>
      <c r="K19" s="3"/>
      <c r="L19" s="3"/>
      <c r="M19" s="14">
        <f t="shared" si="0"/>
        <v>0</v>
      </c>
    </row>
    <row r="20" spans="8:15" x14ac:dyDescent="0.35">
      <c r="H20" s="3"/>
      <c r="I20" s="3"/>
      <c r="J20" s="3"/>
      <c r="K20" s="3"/>
      <c r="L20" s="3"/>
      <c r="M20" s="14">
        <f t="shared" si="0"/>
        <v>0</v>
      </c>
    </row>
    <row r="21" spans="8:15" x14ac:dyDescent="0.35">
      <c r="H21" s="3"/>
      <c r="I21" s="3"/>
      <c r="J21" s="3"/>
      <c r="K21" s="3"/>
      <c r="L21" s="3"/>
      <c r="M21" s="14">
        <f t="shared" si="0"/>
        <v>0</v>
      </c>
    </row>
    <row r="22" spans="8:15" x14ac:dyDescent="0.35">
      <c r="H22" s="3"/>
      <c r="I22" s="3"/>
      <c r="J22" s="3"/>
      <c r="K22" s="3"/>
      <c r="L22" s="3"/>
      <c r="M22" s="14">
        <f t="shared" si="0"/>
        <v>0</v>
      </c>
    </row>
    <row r="23" spans="8:15" x14ac:dyDescent="0.35">
      <c r="H23" s="3"/>
      <c r="I23" s="3"/>
      <c r="J23" s="3"/>
      <c r="K23" s="3"/>
      <c r="L23" s="3"/>
      <c r="M23" s="14">
        <f t="shared" si="0"/>
        <v>0</v>
      </c>
    </row>
    <row r="24" spans="8:15" x14ac:dyDescent="0.35">
      <c r="H24" s="3"/>
      <c r="I24" s="3"/>
      <c r="J24" s="3"/>
      <c r="K24" s="3"/>
      <c r="L24" s="3"/>
      <c r="M24" s="14">
        <f t="shared" si="0"/>
        <v>0</v>
      </c>
    </row>
    <row r="25" spans="8:15" x14ac:dyDescent="0.35">
      <c r="H25" s="3"/>
      <c r="I25" s="3"/>
      <c r="J25" s="3"/>
      <c r="K25" s="3"/>
      <c r="L25" s="3"/>
      <c r="M25" s="14">
        <f t="shared" si="0"/>
        <v>0</v>
      </c>
    </row>
    <row r="26" spans="8:15" x14ac:dyDescent="0.35">
      <c r="H26" s="4"/>
      <c r="I26" s="4"/>
      <c r="J26" s="4"/>
      <c r="K26" s="4"/>
      <c r="L26" s="4"/>
      <c r="M26" s="4"/>
      <c r="N26" s="4"/>
    </row>
    <row r="27" spans="8:15" ht="7.5" customHeight="1" x14ac:dyDescent="0.35">
      <c r="H27" s="1"/>
      <c r="I27" s="1"/>
      <c r="J27" s="1"/>
      <c r="K27" s="1"/>
      <c r="L27" s="1"/>
      <c r="M27" s="1"/>
      <c r="N27" s="1"/>
      <c r="O27" s="2"/>
    </row>
    <row r="32" spans="8:15" ht="9.5" customHeight="1" x14ac:dyDescent="0.35">
      <c r="H32" s="1"/>
      <c r="I32" s="1"/>
      <c r="J32" s="1"/>
      <c r="K32" s="1"/>
      <c r="L32" s="1"/>
      <c r="M32" s="1"/>
      <c r="N32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" r:id="rId4" name="Tabeldata">
          <controlPr defaultSize="0" autoLine="0" autoPict="0" listFillRange="Database!A4:E15" r:id="rId5">
            <anchor>
              <from>
                <xdr:col>2</xdr:col>
                <xdr:colOff>552450</xdr:colOff>
                <xdr:row>10</xdr:row>
                <xdr:rowOff>31750</xdr:rowOff>
              </from>
              <to>
                <xdr:col>5</xdr:col>
                <xdr:colOff>444500</xdr:colOff>
                <xdr:row>29</xdr:row>
                <xdr:rowOff>88900</xdr:rowOff>
              </to>
            </anchor>
          </controlPr>
        </control>
      </mc:Choice>
      <mc:Fallback>
        <control shapeId="1036" r:id="rId4" name="Tabeldata"/>
      </mc:Fallback>
    </mc:AlternateContent>
    <mc:AlternateContent xmlns:mc="http://schemas.openxmlformats.org/markup-compatibility/2006">
      <mc:Choice Requires="x14">
        <control shapeId="1025" r:id="rId6" name="namainput">
          <controlPr defaultSize="0" disabled="1" autoLine="0" r:id="rId7">
            <anchor>
              <from>
                <xdr:col>0</xdr:col>
                <xdr:colOff>127000</xdr:colOff>
                <xdr:row>1</xdr:row>
                <xdr:rowOff>133350</xdr:rowOff>
              </from>
              <to>
                <xdr:col>2</xdr:col>
                <xdr:colOff>133350</xdr:colOff>
                <xdr:row>2</xdr:row>
                <xdr:rowOff>177800</xdr:rowOff>
              </to>
            </anchor>
          </controlPr>
        </control>
      </mc:Choice>
      <mc:Fallback>
        <control shapeId="1025" r:id="rId6" name="namainput"/>
      </mc:Fallback>
    </mc:AlternateContent>
    <mc:AlternateContent xmlns:mc="http://schemas.openxmlformats.org/markup-compatibility/2006">
      <mc:Choice Requires="x14">
        <control shapeId="1029" r:id="rId8" name="Caribarang">
          <controlPr defaultSize="0" autoLine="0" r:id="rId9">
            <anchor>
              <from>
                <xdr:col>2</xdr:col>
                <xdr:colOff>431800</xdr:colOff>
                <xdr:row>7</xdr:row>
                <xdr:rowOff>31750</xdr:rowOff>
              </from>
              <to>
                <xdr:col>4</xdr:col>
                <xdr:colOff>876300</xdr:colOff>
                <xdr:row>8</xdr:row>
                <xdr:rowOff>152400</xdr:rowOff>
              </to>
            </anchor>
          </controlPr>
        </control>
      </mc:Choice>
      <mc:Fallback>
        <control shapeId="1029" r:id="rId8" name="Caribarang"/>
      </mc:Fallback>
    </mc:AlternateContent>
    <mc:AlternateContent xmlns:mc="http://schemas.openxmlformats.org/markup-compatibility/2006">
      <mc:Choice Requires="x14">
        <control shapeId="1031" r:id="rId10" name="Totalharga">
          <controlPr defaultSize="0" autoLine="0" r:id="rId11">
            <anchor>
              <from>
                <xdr:col>8</xdr:col>
                <xdr:colOff>215900</xdr:colOff>
                <xdr:row>28</xdr:row>
                <xdr:rowOff>139700</xdr:rowOff>
              </from>
              <to>
                <xdr:col>8</xdr:col>
                <xdr:colOff>1473200</xdr:colOff>
                <xdr:row>30</xdr:row>
                <xdr:rowOff>6350</xdr:rowOff>
              </to>
            </anchor>
          </controlPr>
        </control>
      </mc:Choice>
      <mc:Fallback>
        <control shapeId="1031" r:id="rId10" name="Totalharga"/>
      </mc:Fallback>
    </mc:AlternateContent>
    <mc:AlternateContent xmlns:mc="http://schemas.openxmlformats.org/markup-compatibility/2006">
      <mc:Choice Requires="x14">
        <control shapeId="1032" r:id="rId12" name="Bayar">
          <controlPr defaultSize="0" autoLine="0" r:id="rId13">
            <anchor>
              <from>
                <xdr:col>9</xdr:col>
                <xdr:colOff>57150</xdr:colOff>
                <xdr:row>28</xdr:row>
                <xdr:rowOff>152400</xdr:rowOff>
              </from>
              <to>
                <xdr:col>10</xdr:col>
                <xdr:colOff>38100</xdr:colOff>
                <xdr:row>30</xdr:row>
                <xdr:rowOff>19050</xdr:rowOff>
              </to>
            </anchor>
          </controlPr>
        </control>
      </mc:Choice>
      <mc:Fallback>
        <control shapeId="1032" r:id="rId12" name="Bayar"/>
      </mc:Fallback>
    </mc:AlternateContent>
    <mc:AlternateContent xmlns:mc="http://schemas.openxmlformats.org/markup-compatibility/2006">
      <mc:Choice Requires="x14">
        <control shapeId="1033" r:id="rId14" name="Kembalian">
          <controlPr defaultSize="0" autoLine="0" r:id="rId15">
            <anchor>
              <from>
                <xdr:col>12</xdr:col>
                <xdr:colOff>190500</xdr:colOff>
                <xdr:row>28</xdr:row>
                <xdr:rowOff>165100</xdr:rowOff>
              </from>
              <to>
                <xdr:col>14</xdr:col>
                <xdr:colOff>12700</xdr:colOff>
                <xdr:row>30</xdr:row>
                <xdr:rowOff>31750</xdr:rowOff>
              </to>
            </anchor>
          </controlPr>
        </control>
      </mc:Choice>
      <mc:Fallback>
        <control shapeId="1033" r:id="rId14" name="Kembalian"/>
      </mc:Fallback>
    </mc:AlternateContent>
    <mc:AlternateContent xmlns:mc="http://schemas.openxmlformats.org/markup-compatibility/2006">
      <mc:Choice Requires="x14">
        <control shapeId="9" r:id="rId16" name="Tanggal">
          <controlPr defaultSize="0" autoLine="0" r:id="rId17">
            <anchor>
              <from>
                <xdr:col>11</xdr:col>
                <xdr:colOff>933450</xdr:colOff>
                <xdr:row>1</xdr:row>
                <xdr:rowOff>95250</xdr:rowOff>
              </from>
              <to>
                <xdr:col>12</xdr:col>
                <xdr:colOff>1009650</xdr:colOff>
                <xdr:row>2</xdr:row>
                <xdr:rowOff>146050</xdr:rowOff>
              </to>
            </anchor>
          </controlPr>
        </control>
      </mc:Choice>
      <mc:Fallback>
        <control shapeId="1034" r:id="rId16" name="Tanggal"/>
      </mc:Fallback>
    </mc:AlternateContent>
    <mc:AlternateContent xmlns:mc="http://schemas.openxmlformats.org/markup-compatibility/2006">
      <mc:Choice Requires="x14">
        <control shapeId="1037" r:id="rId18" name="Namatoko">
          <controlPr defaultSize="0" disabled="1" autoLine="0" autoPict="0" r:id="rId19">
            <anchor>
              <from>
                <xdr:col>0</xdr:col>
                <xdr:colOff>107950</xdr:colOff>
                <xdr:row>4</xdr:row>
                <xdr:rowOff>63500</xdr:rowOff>
              </from>
              <to>
                <xdr:col>2</xdr:col>
                <xdr:colOff>133350</xdr:colOff>
                <xdr:row>5</xdr:row>
                <xdr:rowOff>107950</xdr:rowOff>
              </to>
            </anchor>
          </controlPr>
        </control>
      </mc:Choice>
      <mc:Fallback>
        <control shapeId="1037" r:id="rId18" name="Namatoko"/>
      </mc:Fallback>
    </mc:AlternateContent>
    <mc:AlternateContent xmlns:mc="http://schemas.openxmlformats.org/markup-compatibility/2006">
      <mc:Choice Requires="x14">
        <control shapeId="1038" r:id="rId20" name="Alamattoko">
          <controlPr defaultSize="0" disabled="1" autoLine="0" autoPict="0" r:id="rId21">
            <anchor>
              <from>
                <xdr:col>0</xdr:col>
                <xdr:colOff>127000</xdr:colOff>
                <xdr:row>6</xdr:row>
                <xdr:rowOff>165100</xdr:rowOff>
              </from>
              <to>
                <xdr:col>2</xdr:col>
                <xdr:colOff>165100</xdr:colOff>
                <xdr:row>8</xdr:row>
                <xdr:rowOff>25400</xdr:rowOff>
              </to>
            </anchor>
          </controlPr>
        </control>
      </mc:Choice>
      <mc:Fallback>
        <control shapeId="1038" r:id="rId20" name="Alamattoko"/>
      </mc:Fallback>
    </mc:AlternateContent>
    <mc:AlternateContent xmlns:mc="http://schemas.openxmlformats.org/markup-compatibility/2006">
      <mc:Choice Requires="x14">
        <control shapeId="12" r:id="rId22" name="Nohandphone">
          <controlPr defaultSize="0" disabled="1" autoLine="0" autoPict="0" r:id="rId23">
            <anchor>
              <from>
                <xdr:col>0</xdr:col>
                <xdr:colOff>139700</xdr:colOff>
                <xdr:row>9</xdr:row>
                <xdr:rowOff>114300</xdr:rowOff>
              </from>
              <to>
                <xdr:col>2</xdr:col>
                <xdr:colOff>177800</xdr:colOff>
                <xdr:row>11</xdr:row>
                <xdr:rowOff>76200</xdr:rowOff>
              </to>
            </anchor>
          </controlPr>
        </control>
      </mc:Choice>
      <mc:Fallback>
        <control shapeId="1039" r:id="rId22" name="Nohandpho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DD100-721A-4F2E-B2BE-BEC3C8163D16}">
  <sheetPr codeName="Sheet6"/>
  <dimension ref="A1:H30"/>
  <sheetViews>
    <sheetView topLeftCell="A7" zoomScale="80" workbookViewId="0">
      <selection activeCell="F26" sqref="F26:H26"/>
    </sheetView>
  </sheetViews>
  <sheetFormatPr defaultRowHeight="14.5" x14ac:dyDescent="0.35"/>
  <cols>
    <col min="3" max="3" width="2.81640625" customWidth="1"/>
    <col min="4" max="4" width="8.7265625" customWidth="1"/>
    <col min="6" max="6" width="12.1796875" customWidth="1"/>
  </cols>
  <sheetData>
    <row r="1" spans="1:8" ht="34" customHeight="1" x14ac:dyDescent="0.35">
      <c r="A1" s="24" t="str">
        <f>identitastoko!B3</f>
        <v>Toko Jogja Online sepatu</v>
      </c>
      <c r="B1" s="25"/>
      <c r="C1" s="25"/>
      <c r="D1" s="25"/>
      <c r="E1" s="25"/>
      <c r="F1" s="25"/>
      <c r="G1" s="25"/>
      <c r="H1" s="26"/>
    </row>
    <row r="2" spans="1:8" x14ac:dyDescent="0.35">
      <c r="A2" s="27">
        <f ca="1">TODAY()</f>
        <v>44885</v>
      </c>
      <c r="B2" s="28"/>
      <c r="C2" s="28"/>
      <c r="D2" s="28"/>
      <c r="E2" s="28"/>
      <c r="F2" s="28"/>
      <c r="G2" s="28"/>
      <c r="H2" s="29"/>
    </row>
    <row r="3" spans="1:8" x14ac:dyDescent="0.35">
      <c r="A3" s="22" t="s">
        <v>71</v>
      </c>
      <c r="B3" s="22"/>
      <c r="C3" s="9" t="s">
        <v>70</v>
      </c>
      <c r="D3" s="22"/>
      <c r="E3" s="22"/>
      <c r="F3" s="22"/>
      <c r="G3" s="22"/>
      <c r="H3" s="22"/>
    </row>
    <row r="4" spans="1:8" x14ac:dyDescent="0.35">
      <c r="A4" s="22" t="s">
        <v>28</v>
      </c>
      <c r="B4" s="22"/>
      <c r="C4" s="9" t="s">
        <v>70</v>
      </c>
      <c r="D4" s="22"/>
      <c r="E4" s="22"/>
      <c r="F4" s="22"/>
      <c r="G4" s="22"/>
      <c r="H4" s="22"/>
    </row>
    <row r="5" spans="1:8" x14ac:dyDescent="0.35">
      <c r="A5" s="22" t="s">
        <v>72</v>
      </c>
      <c r="B5" s="22"/>
      <c r="C5" s="9" t="s">
        <v>70</v>
      </c>
      <c r="D5" s="22"/>
      <c r="E5" s="22"/>
      <c r="F5" s="22"/>
      <c r="G5" s="22"/>
      <c r="H5" s="22"/>
    </row>
    <row r="6" spans="1:8" x14ac:dyDescent="0.35">
      <c r="A6" s="22" t="s">
        <v>30</v>
      </c>
      <c r="B6" s="22"/>
      <c r="C6" s="9" t="s">
        <v>70</v>
      </c>
      <c r="D6" s="22"/>
      <c r="E6" s="22"/>
      <c r="F6" s="22"/>
      <c r="G6" s="22"/>
      <c r="H6" s="22"/>
    </row>
    <row r="7" spans="1:8" x14ac:dyDescent="0.35">
      <c r="A7" s="30"/>
      <c r="B7" s="31"/>
      <c r="C7" s="31"/>
      <c r="D7" s="31"/>
      <c r="E7" s="31"/>
      <c r="F7" s="31"/>
      <c r="G7" s="31"/>
      <c r="H7" s="32"/>
    </row>
    <row r="8" spans="1:8" x14ac:dyDescent="0.35">
      <c r="A8" s="30"/>
      <c r="B8" s="31"/>
      <c r="C8" s="31"/>
      <c r="D8" s="31"/>
      <c r="E8" s="31"/>
      <c r="F8" s="31"/>
      <c r="G8" s="31"/>
      <c r="H8" s="32"/>
    </row>
    <row r="9" spans="1:8" ht="18.5" customHeight="1" x14ac:dyDescent="0.35">
      <c r="A9" s="15" t="s">
        <v>4</v>
      </c>
      <c r="B9" s="15"/>
      <c r="C9" s="10" t="s">
        <v>70</v>
      </c>
      <c r="D9" s="10" t="s">
        <v>0</v>
      </c>
      <c r="E9" s="15" t="s">
        <v>2</v>
      </c>
      <c r="F9" s="15"/>
      <c r="G9" s="15" t="s">
        <v>1</v>
      </c>
      <c r="H9" s="15"/>
    </row>
    <row r="10" spans="1:8" x14ac:dyDescent="0.35">
      <c r="A10" s="15" t="str">
        <f>IF(TRANSAKSI!I14="","",TRANSAKSI!I14)</f>
        <v>Compass</v>
      </c>
      <c r="B10" s="15"/>
      <c r="C10" s="10" t="s">
        <v>70</v>
      </c>
      <c r="D10" s="10">
        <f>IF(TRANSAKSI!K14="","",TRANSAKSI!K14)</f>
        <v>1</v>
      </c>
      <c r="E10" s="15">
        <f>IF(TRANSAKSI!J14="","",TRANSAKSI!J14)</f>
        <v>32</v>
      </c>
      <c r="F10" s="15"/>
      <c r="G10" s="15">
        <f>IF(TRANSAKSI!M14="","",TRANSAKSI!M14)</f>
        <v>450000</v>
      </c>
      <c r="H10" s="15"/>
    </row>
    <row r="11" spans="1:8" x14ac:dyDescent="0.35">
      <c r="A11" s="15" t="str">
        <f>IF(TRANSAKSI!I15="","",TRANSAKSI!I15)</f>
        <v>Eiger</v>
      </c>
      <c r="B11" s="15"/>
      <c r="C11" s="10" t="s">
        <v>70</v>
      </c>
      <c r="D11" s="10">
        <f>IF(TRANSAKSI!K15="","",TRANSAKSI!K15)</f>
        <v>1</v>
      </c>
      <c r="E11" s="15">
        <f>IF(TRANSAKSI!J15="","",TRANSAKSI!J15)</f>
        <v>45</v>
      </c>
      <c r="F11" s="15"/>
      <c r="G11" s="15">
        <f>IF(TRANSAKSI!M15="","",TRANSAKSI!M15)</f>
        <v>500000</v>
      </c>
      <c r="H11" s="15"/>
    </row>
    <row r="12" spans="1:8" x14ac:dyDescent="0.35">
      <c r="A12" s="15" t="str">
        <f>IF(TRANSAKSI!I16="","",TRANSAKSI!I16)</f>
        <v>Ventella</v>
      </c>
      <c r="B12" s="15"/>
      <c r="C12" s="10" t="s">
        <v>70</v>
      </c>
      <c r="D12" s="10">
        <f>IF(TRANSAKSI!K16="","",TRANSAKSI!K16)</f>
        <v>1</v>
      </c>
      <c r="E12" s="15">
        <f>IF(TRANSAKSI!J16="","",TRANSAKSI!J16)</f>
        <v>30</v>
      </c>
      <c r="F12" s="15"/>
      <c r="G12" s="15">
        <f>IF(TRANSAKSI!M16="","",TRANSAKSI!M16)</f>
        <v>500000</v>
      </c>
      <c r="H12" s="15"/>
    </row>
    <row r="13" spans="1:8" x14ac:dyDescent="0.35">
      <c r="A13" s="15" t="str">
        <f>IF(TRANSAKSI!I17="","",TRANSAKSI!I17)</f>
        <v/>
      </c>
      <c r="B13" s="15"/>
      <c r="C13" s="10" t="s">
        <v>70</v>
      </c>
      <c r="D13" s="11" t="str">
        <f>IF(TRANSAKSI!K17="","",TRANSAKSI!K17)</f>
        <v/>
      </c>
      <c r="E13" s="15" t="str">
        <f>IF(TRANSAKSI!J17="","",TRANSAKSI!J17)</f>
        <v/>
      </c>
      <c r="F13" s="15"/>
      <c r="G13" s="15"/>
      <c r="H13" s="15"/>
    </row>
    <row r="14" spans="1:8" x14ac:dyDescent="0.35">
      <c r="A14" s="15" t="str">
        <f>IF(TRANSAKSI!I18="","",TRANSAKSI!I18)</f>
        <v/>
      </c>
      <c r="B14" s="15"/>
      <c r="C14" s="10" t="s">
        <v>70</v>
      </c>
      <c r="D14" s="11" t="str">
        <f>IF(TRANSAKSI!K18="","",TRANSAKSI!K18)</f>
        <v/>
      </c>
      <c r="E14" s="15" t="str">
        <f>IF(TRANSAKSI!J18="","",TRANSAKSI!J18)</f>
        <v/>
      </c>
      <c r="F14" s="15"/>
      <c r="G14" s="15"/>
      <c r="H14" s="15"/>
    </row>
    <row r="15" spans="1:8" x14ac:dyDescent="0.35">
      <c r="A15" s="15" t="str">
        <f>IF(TRANSAKSI!I19="","",TRANSAKSI!I19)</f>
        <v/>
      </c>
      <c r="B15" s="15"/>
      <c r="C15" s="10" t="s">
        <v>70</v>
      </c>
      <c r="D15" s="11" t="str">
        <f>IF(TRANSAKSI!K19="","",TRANSAKSI!K19)</f>
        <v/>
      </c>
      <c r="E15" s="15" t="str">
        <f>IF(TRANSAKSI!J19="","",TRANSAKSI!J19)</f>
        <v/>
      </c>
      <c r="F15" s="15"/>
      <c r="G15" s="15"/>
      <c r="H15" s="15"/>
    </row>
    <row r="16" spans="1:8" x14ac:dyDescent="0.35">
      <c r="A16" s="15" t="str">
        <f>IF(TRANSAKSI!I20="","",TRANSAKSI!I20)</f>
        <v/>
      </c>
      <c r="B16" s="15"/>
      <c r="C16" s="10" t="s">
        <v>70</v>
      </c>
      <c r="D16" s="11" t="str">
        <f>IF(TRANSAKSI!K20="","",TRANSAKSI!K20)</f>
        <v/>
      </c>
      <c r="E16" s="15" t="str">
        <f>IF(TRANSAKSI!J20="","",TRANSAKSI!J20)</f>
        <v/>
      </c>
      <c r="F16" s="15"/>
      <c r="G16" s="15"/>
      <c r="H16" s="15"/>
    </row>
    <row r="17" spans="1:8" x14ac:dyDescent="0.35">
      <c r="A17" s="15" t="str">
        <f>IF(TRANSAKSI!I21="","",TRANSAKSI!I21)</f>
        <v/>
      </c>
      <c r="B17" s="15"/>
      <c r="C17" s="10" t="s">
        <v>70</v>
      </c>
      <c r="D17" s="11" t="str">
        <f>IF(TRANSAKSI!K21="","",TRANSAKSI!K21)</f>
        <v/>
      </c>
      <c r="E17" s="15" t="str">
        <f>IF(TRANSAKSI!J21="","",TRANSAKSI!J21)</f>
        <v/>
      </c>
      <c r="F17" s="15"/>
      <c r="G17" s="15"/>
      <c r="H17" s="15"/>
    </row>
    <row r="18" spans="1:8" x14ac:dyDescent="0.35">
      <c r="A18" s="15" t="str">
        <f>IF(TRANSAKSI!I22="","",TRANSAKSI!I22)</f>
        <v/>
      </c>
      <c r="B18" s="15"/>
      <c r="C18" s="10" t="s">
        <v>70</v>
      </c>
      <c r="D18" s="11" t="str">
        <f>IF(TRANSAKSI!K22="","",TRANSAKSI!K22)</f>
        <v/>
      </c>
      <c r="E18" s="15" t="str">
        <f>IF(TRANSAKSI!J22="","",TRANSAKSI!J22)</f>
        <v/>
      </c>
      <c r="F18" s="15"/>
      <c r="G18" s="15"/>
      <c r="H18" s="15"/>
    </row>
    <row r="19" spans="1:8" x14ac:dyDescent="0.35">
      <c r="A19" s="15" t="str">
        <f>IF(TRANSAKSI!I23="","",TRANSAKSI!I23)</f>
        <v/>
      </c>
      <c r="B19" s="15"/>
      <c r="C19" s="10" t="s">
        <v>70</v>
      </c>
      <c r="D19" s="11" t="str">
        <f>IF(TRANSAKSI!K23="","",TRANSAKSI!K23)</f>
        <v/>
      </c>
      <c r="E19" s="15" t="str">
        <f>IF(TRANSAKSI!J23="","",TRANSAKSI!J23)</f>
        <v/>
      </c>
      <c r="F19" s="15"/>
      <c r="G19" s="15"/>
      <c r="H19" s="15"/>
    </row>
    <row r="20" spans="1:8" x14ac:dyDescent="0.35">
      <c r="A20" s="15" t="str">
        <f>IF(TRANSAKSI!I24="","",TRANSAKSI!I24)</f>
        <v/>
      </c>
      <c r="B20" s="15"/>
      <c r="C20" s="10" t="s">
        <v>70</v>
      </c>
      <c r="D20" s="11" t="str">
        <f>IF(TRANSAKSI!K24="","",TRANSAKSI!K24)</f>
        <v/>
      </c>
      <c r="E20" s="15" t="str">
        <f>IF(TRANSAKSI!J24="","",TRANSAKSI!J24)</f>
        <v/>
      </c>
      <c r="F20" s="15"/>
      <c r="G20" s="15"/>
      <c r="H20" s="15"/>
    </row>
    <row r="21" spans="1:8" x14ac:dyDescent="0.35">
      <c r="A21" s="15" t="str">
        <f>IF(TRANSAKSI!I25="","",TRANSAKSI!I25)</f>
        <v/>
      </c>
      <c r="B21" s="15"/>
      <c r="C21" s="10" t="s">
        <v>70</v>
      </c>
      <c r="D21" s="11" t="str">
        <f>IF(TRANSAKSI!K25="","",TRANSAKSI!K25)</f>
        <v/>
      </c>
      <c r="E21" s="15" t="str">
        <f>IF(TRANSAKSI!J25="","",TRANSAKSI!J25)</f>
        <v/>
      </c>
      <c r="F21" s="15"/>
      <c r="G21" s="15"/>
      <c r="H21" s="15"/>
    </row>
    <row r="22" spans="1:8" x14ac:dyDescent="0.35">
      <c r="A22" s="15" t="str">
        <f>IF(TRANSAKSI!I26="","",TRANSAKSI!I26)</f>
        <v/>
      </c>
      <c r="B22" s="15"/>
      <c r="C22" s="10" t="s">
        <v>70</v>
      </c>
      <c r="D22" s="11" t="str">
        <f>IF(TRANSAKSI!K26="","",TRANSAKSI!K26)</f>
        <v/>
      </c>
      <c r="E22" s="15" t="str">
        <f>IF(TRANSAKSI!J26="","",TRANSAKSI!J26)</f>
        <v/>
      </c>
      <c r="F22" s="15"/>
      <c r="G22" s="15" t="str">
        <f>IF(TRANSAKSI!M26="","",TRANSAKSI!M26)</f>
        <v/>
      </c>
      <c r="H22" s="15"/>
    </row>
    <row r="23" spans="1:8" ht="10" customHeight="1" x14ac:dyDescent="0.35">
      <c r="A23" s="15"/>
      <c r="B23" s="15"/>
      <c r="C23" s="15"/>
      <c r="D23" s="15"/>
      <c r="E23" s="15"/>
      <c r="F23" s="15"/>
      <c r="G23" s="15"/>
      <c r="H23" s="15"/>
    </row>
    <row r="24" spans="1:8" x14ac:dyDescent="0.35">
      <c r="A24" s="15" t="s">
        <v>1</v>
      </c>
      <c r="B24" s="15"/>
      <c r="C24" s="10" t="s">
        <v>70</v>
      </c>
      <c r="D24" s="15" t="s">
        <v>73</v>
      </c>
      <c r="E24" s="15"/>
      <c r="F24" s="23">
        <v>1450000</v>
      </c>
      <c r="G24" s="15"/>
      <c r="H24" s="15"/>
    </row>
    <row r="25" spans="1:8" x14ac:dyDescent="0.35">
      <c r="A25" s="15" t="s">
        <v>74</v>
      </c>
      <c r="B25" s="15"/>
      <c r="C25" s="10" t="s">
        <v>70</v>
      </c>
      <c r="D25" s="15" t="s">
        <v>73</v>
      </c>
      <c r="E25" s="15"/>
      <c r="F25" s="15">
        <v>5000000</v>
      </c>
      <c r="G25" s="15"/>
      <c r="H25" s="15"/>
    </row>
    <row r="26" spans="1:8" x14ac:dyDescent="0.35">
      <c r="A26" s="15" t="s">
        <v>75</v>
      </c>
      <c r="B26" s="15"/>
      <c r="C26" s="10" t="s">
        <v>70</v>
      </c>
      <c r="D26" s="15" t="s">
        <v>73</v>
      </c>
      <c r="E26" s="15"/>
      <c r="F26" s="15">
        <f>IF(F25-F24="","",F25-F24)</f>
        <v>3550000</v>
      </c>
      <c r="G26" s="15"/>
      <c r="H26" s="15"/>
    </row>
    <row r="27" spans="1:8" x14ac:dyDescent="0.35">
      <c r="A27" s="15"/>
      <c r="B27" s="15"/>
      <c r="C27" s="15"/>
      <c r="D27" s="15"/>
      <c r="E27" s="15"/>
      <c r="F27" s="15"/>
      <c r="G27" s="15"/>
      <c r="H27" s="11"/>
    </row>
    <row r="28" spans="1:8" x14ac:dyDescent="0.35">
      <c r="A28" s="16" t="s">
        <v>76</v>
      </c>
      <c r="B28" s="17"/>
      <c r="C28" s="17"/>
      <c r="D28" s="17"/>
      <c r="E28" s="17"/>
      <c r="F28" s="17"/>
      <c r="G28" s="17"/>
      <c r="H28" s="18"/>
    </row>
    <row r="29" spans="1:8" x14ac:dyDescent="0.35">
      <c r="A29" s="16"/>
      <c r="B29" s="17"/>
      <c r="C29" s="17"/>
      <c r="D29" s="17"/>
      <c r="E29" s="17"/>
      <c r="F29" s="17"/>
      <c r="G29" s="17"/>
      <c r="H29" s="18"/>
    </row>
    <row r="30" spans="1:8" x14ac:dyDescent="0.35">
      <c r="A30" s="19"/>
      <c r="B30" s="20"/>
      <c r="C30" s="20"/>
      <c r="D30" s="20"/>
      <c r="E30" s="20"/>
      <c r="F30" s="20"/>
      <c r="G30" s="20"/>
      <c r="H30" s="21"/>
    </row>
  </sheetData>
  <mergeCells count="65">
    <mergeCell ref="A15:B15"/>
    <mergeCell ref="A9:B9"/>
    <mergeCell ref="E9:F9"/>
    <mergeCell ref="G9:H9"/>
    <mergeCell ref="A6:B6"/>
    <mergeCell ref="A10:B10"/>
    <mergeCell ref="A11:B11"/>
    <mergeCell ref="A12:B12"/>
    <mergeCell ref="A13:B13"/>
    <mergeCell ref="A14:B14"/>
    <mergeCell ref="G15:H15"/>
    <mergeCell ref="A22:B22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A16:B16"/>
    <mergeCell ref="A17:B17"/>
    <mergeCell ref="A18:B18"/>
    <mergeCell ref="A19:B19"/>
    <mergeCell ref="A20:B20"/>
    <mergeCell ref="A21:B21"/>
    <mergeCell ref="E19:F19"/>
    <mergeCell ref="E20:F20"/>
    <mergeCell ref="E21:F21"/>
    <mergeCell ref="E22:F22"/>
    <mergeCell ref="G10:H10"/>
    <mergeCell ref="G11:H11"/>
    <mergeCell ref="G12:H12"/>
    <mergeCell ref="G13:H13"/>
    <mergeCell ref="G14:H14"/>
    <mergeCell ref="G17:H17"/>
    <mergeCell ref="G18:H18"/>
    <mergeCell ref="G19:H19"/>
    <mergeCell ref="G20:H20"/>
    <mergeCell ref="G21:H21"/>
    <mergeCell ref="A1:H1"/>
    <mergeCell ref="A2:H2"/>
    <mergeCell ref="D5:H5"/>
    <mergeCell ref="D6:H6"/>
    <mergeCell ref="A7:H8"/>
    <mergeCell ref="A3:B3"/>
    <mergeCell ref="A4:B4"/>
    <mergeCell ref="A5:B5"/>
    <mergeCell ref="A27:G27"/>
    <mergeCell ref="A28:H30"/>
    <mergeCell ref="D3:H3"/>
    <mergeCell ref="D4:H4"/>
    <mergeCell ref="A25:B25"/>
    <mergeCell ref="D25:E25"/>
    <mergeCell ref="F25:H25"/>
    <mergeCell ref="A26:B26"/>
    <mergeCell ref="D26:E26"/>
    <mergeCell ref="F26:H26"/>
    <mergeCell ref="A23:H23"/>
    <mergeCell ref="A24:B24"/>
    <mergeCell ref="D24:E24"/>
    <mergeCell ref="F24:H24"/>
    <mergeCell ref="G22:H22"/>
    <mergeCell ref="G16:H1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E2CF9-51ED-4341-95AD-6C29D6D330A6}">
  <sheetPr codeName="Sheet4"/>
  <dimension ref="A2:F4"/>
  <sheetViews>
    <sheetView zoomScaleNormal="100" workbookViewId="0">
      <selection activeCell="A3" sqref="A3:F4"/>
    </sheetView>
  </sheetViews>
  <sheetFormatPr defaultRowHeight="14.5" x14ac:dyDescent="0.35"/>
  <cols>
    <col min="1" max="1" width="21.81640625" customWidth="1"/>
    <col min="2" max="2" width="26" customWidth="1"/>
    <col min="3" max="3" width="17.36328125" customWidth="1"/>
    <col min="4" max="4" width="16.36328125" customWidth="1"/>
    <col min="5" max="5" width="20.90625" customWidth="1"/>
    <col min="6" max="6" width="21.90625" customWidth="1"/>
    <col min="7" max="7" width="32.36328125" customWidth="1"/>
    <col min="8" max="8" width="16.1796875" customWidth="1"/>
    <col min="9" max="9" width="15.6328125" customWidth="1"/>
    <col min="10" max="10" width="15.7265625" customWidth="1"/>
    <col min="11" max="11" width="16.453125" customWidth="1"/>
    <col min="12" max="12" width="16.7265625" customWidth="1"/>
  </cols>
  <sheetData>
    <row r="2" spans="1:6" x14ac:dyDescent="0.35">
      <c r="A2" s="7" t="s">
        <v>3</v>
      </c>
      <c r="B2" s="7" t="s">
        <v>4</v>
      </c>
      <c r="C2" s="7" t="s">
        <v>2</v>
      </c>
      <c r="D2" s="7" t="s">
        <v>0</v>
      </c>
      <c r="E2" s="7" t="s">
        <v>5</v>
      </c>
      <c r="F2" s="7" t="s">
        <v>1</v>
      </c>
    </row>
    <row r="3" spans="1:6" x14ac:dyDescent="0.35">
      <c r="A3" s="8" t="s">
        <v>26</v>
      </c>
      <c r="B3" s="8" t="s">
        <v>8</v>
      </c>
      <c r="C3" s="8">
        <v>40</v>
      </c>
      <c r="D3" s="8">
        <v>1</v>
      </c>
      <c r="E3" s="8">
        <v>250000</v>
      </c>
      <c r="F3" s="8">
        <v>250000</v>
      </c>
    </row>
    <row r="4" spans="1:6" x14ac:dyDescent="0.35">
      <c r="A4" s="8" t="s">
        <v>21</v>
      </c>
      <c r="B4" s="8" t="s">
        <v>22</v>
      </c>
      <c r="C4" s="8">
        <v>45</v>
      </c>
      <c r="D4" s="8">
        <v>1</v>
      </c>
      <c r="E4" s="8">
        <v>400000</v>
      </c>
      <c r="F4" s="8">
        <v>400000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5D09F-CE1D-47C1-B5DA-C91D06C42A0F}">
  <sheetPr codeName="Sheet5"/>
  <dimension ref="A2:D3"/>
  <sheetViews>
    <sheetView workbookViewId="0">
      <selection activeCell="C12" sqref="C12"/>
    </sheetView>
  </sheetViews>
  <sheetFormatPr defaultRowHeight="14.5" x14ac:dyDescent="0.35"/>
  <cols>
    <col min="1" max="1" width="19.26953125" customWidth="1"/>
    <col min="2" max="2" width="26.453125" customWidth="1"/>
    <col min="3" max="3" width="18.6328125" customWidth="1"/>
    <col min="4" max="4" width="16.453125" customWidth="1"/>
  </cols>
  <sheetData>
    <row r="2" spans="1:4" x14ac:dyDescent="0.35">
      <c r="A2" s="12" t="s">
        <v>64</v>
      </c>
      <c r="B2" s="12" t="s">
        <v>65</v>
      </c>
      <c r="C2" s="12" t="s">
        <v>66</v>
      </c>
      <c r="D2" s="12" t="s">
        <v>67</v>
      </c>
    </row>
    <row r="3" spans="1:4" x14ac:dyDescent="0.35">
      <c r="A3" s="8" t="s">
        <v>68</v>
      </c>
      <c r="B3" s="8" t="s">
        <v>69</v>
      </c>
      <c r="C3" s="8" t="s">
        <v>34</v>
      </c>
      <c r="D3" s="8">
        <v>81221269421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10C68-4F09-4799-ADE9-4251F13AA4B6}">
  <sheetPr codeName="Sheet2"/>
  <dimension ref="A3:M16"/>
  <sheetViews>
    <sheetView workbookViewId="0">
      <selection activeCell="A8" sqref="A8:E8"/>
    </sheetView>
  </sheetViews>
  <sheetFormatPr defaultRowHeight="14.5" x14ac:dyDescent="0.35"/>
  <cols>
    <col min="1" max="1" width="14.6328125" customWidth="1"/>
    <col min="2" max="2" width="27.453125" customWidth="1"/>
    <col min="3" max="3" width="21.453125" customWidth="1"/>
    <col min="4" max="4" width="13" customWidth="1"/>
    <col min="5" max="5" width="17.26953125" customWidth="1"/>
    <col min="7" max="7" width="17.453125" customWidth="1"/>
    <col min="8" max="8" width="13" customWidth="1"/>
    <col min="9" max="9" width="14.08984375" customWidth="1"/>
    <col min="10" max="10" width="14.453125" customWidth="1"/>
    <col min="12" max="12" width="11.26953125" customWidth="1"/>
    <col min="13" max="13" width="10.453125" customWidth="1"/>
  </cols>
  <sheetData>
    <row r="3" spans="1:13" x14ac:dyDescent="0.35">
      <c r="A3" s="12" t="s">
        <v>3</v>
      </c>
      <c r="B3" s="12" t="s">
        <v>4</v>
      </c>
      <c r="C3" s="12" t="s">
        <v>6</v>
      </c>
      <c r="D3" s="12" t="s">
        <v>0</v>
      </c>
      <c r="E3" s="12" t="s">
        <v>7</v>
      </c>
      <c r="G3" s="5" t="s">
        <v>4</v>
      </c>
      <c r="I3" s="5" t="s">
        <v>3</v>
      </c>
      <c r="J3" s="5" t="s">
        <v>4</v>
      </c>
      <c r="K3" s="5" t="s">
        <v>6</v>
      </c>
      <c r="L3" s="5" t="s">
        <v>0</v>
      </c>
      <c r="M3" s="5" t="s">
        <v>7</v>
      </c>
    </row>
    <row r="4" spans="1:13" x14ac:dyDescent="0.35">
      <c r="A4" s="8" t="s">
        <v>13</v>
      </c>
      <c r="B4" s="8" t="s">
        <v>14</v>
      </c>
      <c r="C4" s="8">
        <v>32</v>
      </c>
      <c r="D4" s="8">
        <v>45</v>
      </c>
      <c r="E4" s="8">
        <v>450000</v>
      </c>
      <c r="G4" t="s">
        <v>77</v>
      </c>
      <c r="I4" s="8" t="s">
        <v>9</v>
      </c>
      <c r="J4" s="8" t="s">
        <v>8</v>
      </c>
      <c r="K4" s="8">
        <v>43</v>
      </c>
      <c r="L4" s="8">
        <v>25</v>
      </c>
      <c r="M4" s="8">
        <v>200000</v>
      </c>
    </row>
    <row r="5" spans="1:13" x14ac:dyDescent="0.35">
      <c r="A5" s="8" t="s">
        <v>19</v>
      </c>
      <c r="B5" s="8">
        <v>2323</v>
      </c>
      <c r="C5" s="8" t="s">
        <v>20</v>
      </c>
      <c r="D5" s="13">
        <v>3000</v>
      </c>
      <c r="E5" s="8">
        <v>2323</v>
      </c>
      <c r="I5" s="8" t="s">
        <v>10</v>
      </c>
      <c r="J5" s="8" t="s">
        <v>8</v>
      </c>
      <c r="K5" s="8">
        <v>40</v>
      </c>
      <c r="L5" s="8">
        <v>100</v>
      </c>
      <c r="M5" s="8">
        <v>400000</v>
      </c>
    </row>
    <row r="6" spans="1:13" x14ac:dyDescent="0.35">
      <c r="A6" s="8" t="s">
        <v>9</v>
      </c>
      <c r="B6" s="8" t="s">
        <v>8</v>
      </c>
      <c r="C6" s="8">
        <v>43</v>
      </c>
      <c r="D6" s="8">
        <v>25</v>
      </c>
      <c r="E6" s="8">
        <v>200000</v>
      </c>
      <c r="I6" s="8" t="s">
        <v>25</v>
      </c>
      <c r="J6" s="8" t="s">
        <v>8</v>
      </c>
      <c r="K6" s="8">
        <v>48</v>
      </c>
      <c r="L6" s="8">
        <v>100</v>
      </c>
      <c r="M6" s="8">
        <v>500000</v>
      </c>
    </row>
    <row r="7" spans="1:13" x14ac:dyDescent="0.35">
      <c r="A7" s="8" t="s">
        <v>10</v>
      </c>
      <c r="B7" s="8" t="s">
        <v>8</v>
      </c>
      <c r="C7" s="8">
        <v>40</v>
      </c>
      <c r="D7" s="8">
        <v>100</v>
      </c>
      <c r="E7" s="8">
        <v>400000</v>
      </c>
      <c r="I7" s="8" t="s">
        <v>26</v>
      </c>
      <c r="J7" s="8" t="s">
        <v>8</v>
      </c>
      <c r="K7" s="8">
        <v>40</v>
      </c>
      <c r="L7" s="8">
        <v>100</v>
      </c>
      <c r="M7" s="8">
        <v>250000</v>
      </c>
    </row>
    <row r="8" spans="1:13" x14ac:dyDescent="0.35">
      <c r="A8" s="8" t="s">
        <v>25</v>
      </c>
      <c r="B8" s="8" t="s">
        <v>8</v>
      </c>
      <c r="C8" s="8">
        <v>48</v>
      </c>
      <c r="D8" s="8">
        <v>100</v>
      </c>
      <c r="E8" s="8">
        <v>500000</v>
      </c>
      <c r="I8" s="8"/>
      <c r="J8" s="8"/>
      <c r="K8" s="8"/>
      <c r="L8" s="8"/>
      <c r="M8" s="8"/>
    </row>
    <row r="9" spans="1:13" x14ac:dyDescent="0.35">
      <c r="A9" s="8" t="s">
        <v>26</v>
      </c>
      <c r="B9" s="8" t="s">
        <v>8</v>
      </c>
      <c r="C9" s="8">
        <v>40</v>
      </c>
      <c r="D9" s="8">
        <v>100</v>
      </c>
      <c r="E9" s="8">
        <v>250000</v>
      </c>
      <c r="I9" s="8"/>
      <c r="J9" s="8"/>
      <c r="K9" s="8"/>
      <c r="L9" s="8"/>
      <c r="M9" s="8"/>
    </row>
    <row r="10" spans="1:13" x14ac:dyDescent="0.35">
      <c r="A10" s="8" t="s">
        <v>11</v>
      </c>
      <c r="B10" s="8" t="s">
        <v>12</v>
      </c>
      <c r="C10" s="8">
        <v>45</v>
      </c>
      <c r="D10" s="8">
        <v>200</v>
      </c>
      <c r="E10" s="8">
        <v>500000</v>
      </c>
      <c r="I10" s="8"/>
      <c r="J10" s="8"/>
      <c r="K10" s="8"/>
      <c r="L10" s="8"/>
      <c r="M10" s="8"/>
    </row>
    <row r="11" spans="1:13" x14ac:dyDescent="0.35">
      <c r="A11" s="8" t="s">
        <v>23</v>
      </c>
      <c r="B11" s="8" t="s">
        <v>24</v>
      </c>
      <c r="C11" s="8">
        <v>48</v>
      </c>
      <c r="D11" s="8">
        <v>450</v>
      </c>
      <c r="E11" s="8">
        <v>1200000</v>
      </c>
      <c r="I11" s="8"/>
      <c r="J11" s="8"/>
      <c r="K11" s="8"/>
      <c r="L11" s="8"/>
      <c r="M11" s="8"/>
    </row>
    <row r="12" spans="1:13" x14ac:dyDescent="0.35">
      <c r="A12" s="8" t="s">
        <v>21</v>
      </c>
      <c r="B12" s="8" t="s">
        <v>22</v>
      </c>
      <c r="C12" s="8">
        <v>45</v>
      </c>
      <c r="D12" s="8">
        <v>233</v>
      </c>
      <c r="E12" s="8">
        <v>400000</v>
      </c>
      <c r="I12" s="8"/>
      <c r="J12" s="8"/>
      <c r="K12" s="8"/>
      <c r="L12" s="8"/>
      <c r="M12" s="8"/>
    </row>
    <row r="13" spans="1:13" x14ac:dyDescent="0.35">
      <c r="A13" s="8" t="s">
        <v>15</v>
      </c>
      <c r="B13" s="8" t="s">
        <v>16</v>
      </c>
      <c r="C13" s="8">
        <v>50</v>
      </c>
      <c r="D13" s="8">
        <v>231</v>
      </c>
      <c r="E13" s="8"/>
      <c r="I13" s="8"/>
      <c r="J13" s="8"/>
      <c r="K13" s="8"/>
      <c r="L13" s="8"/>
      <c r="M13" s="8"/>
    </row>
    <row r="14" spans="1:13" x14ac:dyDescent="0.35">
      <c r="A14" s="8" t="s">
        <v>17</v>
      </c>
      <c r="B14" s="8" t="s">
        <v>16</v>
      </c>
      <c r="C14" s="8">
        <v>30</v>
      </c>
      <c r="D14" s="8">
        <v>450</v>
      </c>
      <c r="E14" s="8">
        <v>500000</v>
      </c>
    </row>
    <row r="15" spans="1:13" x14ac:dyDescent="0.35">
      <c r="A15" s="8" t="s">
        <v>18</v>
      </c>
      <c r="B15" s="8" t="s">
        <v>16</v>
      </c>
      <c r="C15" s="8">
        <v>43</v>
      </c>
      <c r="D15" s="8">
        <v>232</v>
      </c>
      <c r="E15" s="8">
        <v>122</v>
      </c>
    </row>
    <row r="16" spans="1:13" x14ac:dyDescent="0.35">
      <c r="A16" t="s">
        <v>78</v>
      </c>
      <c r="B16" t="s">
        <v>79</v>
      </c>
      <c r="C16">
        <v>43</v>
      </c>
      <c r="D16">
        <v>333</v>
      </c>
      <c r="E16">
        <v>232424</v>
      </c>
    </row>
  </sheetData>
  <sortState xmlns:xlrd2="http://schemas.microsoft.com/office/spreadsheetml/2017/richdata2" ref="A5:E16">
    <sortCondition ref="B4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AEA44-35A2-4513-88F2-6B5D673DB086}">
  <sheetPr codeName="Sheet3"/>
  <dimension ref="A4:N12"/>
  <sheetViews>
    <sheetView workbookViewId="0">
      <selection activeCell="E9" sqref="E9"/>
    </sheetView>
  </sheetViews>
  <sheetFormatPr defaultRowHeight="14.5" x14ac:dyDescent="0.35"/>
  <cols>
    <col min="1" max="1" width="11.36328125" customWidth="1"/>
    <col min="2" max="2" width="17.453125" customWidth="1"/>
    <col min="3" max="3" width="26.26953125" customWidth="1"/>
    <col min="4" max="4" width="17.1796875" customWidth="1"/>
    <col min="5" max="5" width="18" customWidth="1"/>
    <col min="8" max="8" width="17.453125" customWidth="1"/>
    <col min="10" max="10" width="16" customWidth="1"/>
    <col min="11" max="11" width="16.453125" customWidth="1"/>
    <col min="13" max="13" width="17.08984375" customWidth="1"/>
  </cols>
  <sheetData>
    <row r="4" spans="1:14" x14ac:dyDescent="0.35">
      <c r="A4" s="12" t="s">
        <v>27</v>
      </c>
      <c r="B4" s="12" t="s">
        <v>28</v>
      </c>
      <c r="C4" s="12" t="s">
        <v>29</v>
      </c>
      <c r="D4" s="12" t="s">
        <v>30</v>
      </c>
      <c r="E4" s="12" t="s">
        <v>31</v>
      </c>
      <c r="H4" s="6" t="s">
        <v>28</v>
      </c>
      <c r="J4" s="6" t="s">
        <v>27</v>
      </c>
      <c r="K4" s="6" t="s">
        <v>28</v>
      </c>
      <c r="L4" s="6" t="s">
        <v>29</v>
      </c>
      <c r="M4" s="6" t="s">
        <v>30</v>
      </c>
      <c r="N4" s="6" t="s">
        <v>31</v>
      </c>
    </row>
    <row r="5" spans="1:14" x14ac:dyDescent="0.35">
      <c r="A5" s="8" t="s">
        <v>32</v>
      </c>
      <c r="B5" s="8" t="s">
        <v>33</v>
      </c>
      <c r="C5" s="8" t="s">
        <v>34</v>
      </c>
      <c r="D5" s="8">
        <v>81221269421</v>
      </c>
      <c r="E5" s="8" t="s">
        <v>35</v>
      </c>
      <c r="H5" t="s">
        <v>59</v>
      </c>
      <c r="J5" t="s">
        <v>32</v>
      </c>
      <c r="K5" t="s">
        <v>33</v>
      </c>
      <c r="L5" t="s">
        <v>34</v>
      </c>
      <c r="M5">
        <v>81221269421</v>
      </c>
      <c r="N5" t="s">
        <v>35</v>
      </c>
    </row>
    <row r="6" spans="1:14" x14ac:dyDescent="0.35">
      <c r="A6" s="8" t="s">
        <v>48</v>
      </c>
      <c r="B6" s="8">
        <v>2323</v>
      </c>
      <c r="C6" s="8" t="s">
        <v>49</v>
      </c>
      <c r="D6" s="8">
        <v>34342</v>
      </c>
      <c r="E6" s="8" t="s">
        <v>50</v>
      </c>
      <c r="J6" t="s">
        <v>36</v>
      </c>
      <c r="K6" t="s">
        <v>37</v>
      </c>
      <c r="L6" t="s">
        <v>38</v>
      </c>
      <c r="M6">
        <v>896456934</v>
      </c>
      <c r="N6" t="s">
        <v>39</v>
      </c>
    </row>
    <row r="7" spans="1:14" x14ac:dyDescent="0.35">
      <c r="A7" s="8" t="s">
        <v>36</v>
      </c>
      <c r="B7" s="8" t="s">
        <v>37</v>
      </c>
      <c r="C7" s="8" t="s">
        <v>38</v>
      </c>
      <c r="D7" s="8">
        <v>896456934</v>
      </c>
      <c r="E7" s="8" t="s">
        <v>39</v>
      </c>
      <c r="J7" t="s">
        <v>51</v>
      </c>
      <c r="K7" t="s">
        <v>52</v>
      </c>
      <c r="L7" t="s">
        <v>53</v>
      </c>
      <c r="M7">
        <v>8122123456</v>
      </c>
      <c r="N7" t="s">
        <v>54</v>
      </c>
    </row>
    <row r="8" spans="1:14" x14ac:dyDescent="0.35">
      <c r="A8" s="8" t="s">
        <v>51</v>
      </c>
      <c r="B8" s="8" t="s">
        <v>52</v>
      </c>
      <c r="C8" s="8" t="s">
        <v>53</v>
      </c>
      <c r="D8" s="8">
        <v>8122123456</v>
      </c>
      <c r="E8" s="8" t="s">
        <v>54</v>
      </c>
      <c r="J8" t="s">
        <v>44</v>
      </c>
      <c r="K8" t="s">
        <v>45</v>
      </c>
      <c r="L8" t="s">
        <v>46</v>
      </c>
      <c r="M8">
        <v>83453788</v>
      </c>
      <c r="N8" t="s">
        <v>47</v>
      </c>
    </row>
    <row r="9" spans="1:14" x14ac:dyDescent="0.35">
      <c r="A9" s="8" t="s">
        <v>60</v>
      </c>
      <c r="B9" s="8" t="s">
        <v>61</v>
      </c>
      <c r="C9" s="8" t="s">
        <v>62</v>
      </c>
      <c r="D9" s="8">
        <v>8122122456</v>
      </c>
      <c r="E9" s="8" t="s">
        <v>63</v>
      </c>
      <c r="J9" t="s">
        <v>55</v>
      </c>
      <c r="K9" t="s">
        <v>56</v>
      </c>
      <c r="L9">
        <v>232323</v>
      </c>
      <c r="M9" t="s">
        <v>57</v>
      </c>
      <c r="N9" t="s">
        <v>58</v>
      </c>
    </row>
    <row r="10" spans="1:14" x14ac:dyDescent="0.35">
      <c r="A10" s="8" t="s">
        <v>44</v>
      </c>
      <c r="B10" s="8" t="s">
        <v>45</v>
      </c>
      <c r="C10" s="8" t="s">
        <v>46</v>
      </c>
      <c r="D10" s="8">
        <v>83453788</v>
      </c>
      <c r="E10" s="8" t="s">
        <v>47</v>
      </c>
      <c r="J10" t="s">
        <v>40</v>
      </c>
      <c r="K10" t="s">
        <v>41</v>
      </c>
      <c r="L10" t="s">
        <v>42</v>
      </c>
      <c r="M10">
        <v>8122123456</v>
      </c>
      <c r="N10" t="s">
        <v>43</v>
      </c>
    </row>
    <row r="11" spans="1:14" x14ac:dyDescent="0.35">
      <c r="A11" s="8" t="s">
        <v>55</v>
      </c>
      <c r="B11" s="8" t="s">
        <v>56</v>
      </c>
      <c r="C11" s="8">
        <v>232323</v>
      </c>
      <c r="D11" s="8" t="s">
        <v>57</v>
      </c>
      <c r="E11" s="8" t="s">
        <v>58</v>
      </c>
    </row>
    <row r="12" spans="1:14" x14ac:dyDescent="0.35">
      <c r="A12" s="8" t="s">
        <v>40</v>
      </c>
      <c r="B12" s="8" t="s">
        <v>41</v>
      </c>
      <c r="C12" s="8" t="s">
        <v>42</v>
      </c>
      <c r="D12" s="8">
        <v>8122123456</v>
      </c>
      <c r="E12" s="8" t="s">
        <v>43</v>
      </c>
    </row>
  </sheetData>
  <sortState xmlns:xlrd2="http://schemas.microsoft.com/office/spreadsheetml/2017/richdata2" ref="A6:E46">
    <sortCondition ref="B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TRANSAKSI</vt:lpstr>
      <vt:lpstr>Bon</vt:lpstr>
      <vt:lpstr>Printtransaksi</vt:lpstr>
      <vt:lpstr>identitastoko</vt:lpstr>
      <vt:lpstr>Database</vt:lpstr>
      <vt:lpstr>Resellerdata</vt:lpstr>
      <vt:lpstr>Database!Criteria</vt:lpstr>
      <vt:lpstr>Resellerdata!Criteria</vt:lpstr>
      <vt:lpstr>Database!Extract</vt:lpstr>
      <vt:lpstr>Resellerdata!Extract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2022-11-16T17:51:33Z</cp:lastPrinted>
  <dcterms:created xsi:type="dcterms:W3CDTF">2022-11-14T16:38:40Z</dcterms:created>
  <dcterms:modified xsi:type="dcterms:W3CDTF">2022-11-20T05:28:02Z</dcterms:modified>
</cp:coreProperties>
</file>